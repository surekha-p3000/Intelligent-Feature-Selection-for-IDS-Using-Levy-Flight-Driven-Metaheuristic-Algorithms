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ekha\paper journal\Codes\"/>
    </mc:Choice>
  </mc:AlternateContent>
  <xr:revisionPtr revIDLastSave="0" documentId="13_ncr:1_{3E7F3E09-143F-4DCD-9EE2-3CF52A390414}" xr6:coauthVersionLast="47" xr6:coauthVersionMax="47" xr10:uidLastSave="{00000000-0000-0000-0000-000000000000}"/>
  <bookViews>
    <workbookView xWindow="-108" yWindow="-108" windowWidth="23256" windowHeight="12576" activeTab="3" xr2:uid="{9D446EB5-3AD8-4840-B829-BD52CFBD2CB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3" l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5" i="3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4" i="1"/>
  <c r="E5" i="1"/>
  <c r="E6" i="1"/>
  <c r="E7" i="1"/>
  <c r="E3" i="1"/>
  <c r="D2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3" i="1"/>
  <c r="B21" i="1"/>
</calcChain>
</file>

<file path=xl/sharedStrings.xml><?xml version="1.0" encoding="utf-8"?>
<sst xmlns="http://schemas.openxmlformats.org/spreadsheetml/2006/main" count="227" uniqueCount="80">
  <si>
    <t>Traffic class</t>
  </si>
  <si>
    <t>Distribution before cleaning</t>
  </si>
  <si>
    <t>Distribution after cleaning</t>
  </si>
  <si>
    <t>Count</t>
  </si>
  <si>
    <t>Percentage (%)</t>
  </si>
  <si>
    <t>Mirai UDP Flooding</t>
  </si>
  <si>
    <t>Mirai TCP Flooding</t>
  </si>
  <si>
    <t>Mirai GRE Flooding</t>
  </si>
  <si>
    <t>TCP Scan</t>
  </si>
  <si>
    <t>CoAP Amplification</t>
  </si>
  <si>
    <t>Telnet Brute Force</t>
  </si>
  <si>
    <t>Merlin TCP Flooding</t>
  </si>
  <si>
    <t>Merlin ICMP Flooding</t>
  </si>
  <si>
    <t>Ingress Tool Transfer</t>
  </si>
  <si>
    <t>Merlin UDP Flooding</t>
  </si>
  <si>
    <t>Merlin C&amp;C Communication</t>
  </si>
  <si>
    <t>Benign</t>
  </si>
  <si>
    <t>UDP Scan</t>
  </si>
  <si>
    <t>File Download</t>
  </si>
  <si>
    <t>Unknown</t>
  </si>
  <si>
    <t>Mirai C&amp;C Communication</t>
  </si>
  <si>
    <t>C&amp;C Communication</t>
  </si>
  <si>
    <t>Reporting</t>
  </si>
  <si>
    <t>Benign                      5000</t>
  </si>
  <si>
    <t>CoAP Amplification          5000</t>
  </si>
  <si>
    <t>Telnet Brute Force          5000</t>
  </si>
  <si>
    <t>Ingress Tool Transfer       5000</t>
  </si>
  <si>
    <t>Merlin C&amp;C Communication    5000</t>
  </si>
  <si>
    <t>Merlin ICMP Flooding        5000</t>
  </si>
  <si>
    <t>Merlin UDP Flooding         5000</t>
  </si>
  <si>
    <t>Merlin TCP Flooding         5000</t>
  </si>
  <si>
    <t>Mirai TCP Flooding          5000</t>
  </si>
  <si>
    <t>Mirai GRE Flooding          5000</t>
  </si>
  <si>
    <t>Mirai UDP Flooding          5000</t>
  </si>
  <si>
    <t>TCP Scan                    5000</t>
  </si>
  <si>
    <t>UDP Scan                    4242</t>
  </si>
  <si>
    <t>File Download               3587</t>
  </si>
  <si>
    <t>Unknown                     3372</t>
  </si>
  <si>
    <t>Mirai C&amp;C Communication      358</t>
  </si>
  <si>
    <t>C&amp;C Communication            272</t>
  </si>
  <si>
    <t>Reporting                    216</t>
  </si>
  <si>
    <t>Machine Learning algorithm</t>
  </si>
  <si>
    <t>Accuracy</t>
  </si>
  <si>
    <t>Recall</t>
  </si>
  <si>
    <t>F1 score</t>
  </si>
  <si>
    <t>Logistic Regression</t>
  </si>
  <si>
    <t xml:space="preserve">Decision Tree </t>
  </si>
  <si>
    <t>KNN</t>
  </si>
  <si>
    <t>Bagging</t>
  </si>
  <si>
    <t>AdaBoost</t>
  </si>
  <si>
    <t>XGBoost</t>
  </si>
  <si>
    <t>SVM</t>
  </si>
  <si>
    <t>Light GBM</t>
  </si>
  <si>
    <t>Gaussian Naïve Bayes</t>
  </si>
  <si>
    <t>Random Forest</t>
  </si>
  <si>
    <t>ALO</t>
  </si>
  <si>
    <t xml:space="preserve">Precision </t>
  </si>
  <si>
    <t>Time taken</t>
  </si>
  <si>
    <t>SSO</t>
  </si>
  <si>
    <t>LECO</t>
  </si>
  <si>
    <t>Decision Tree</t>
  </si>
  <si>
    <t>GLAM</t>
  </si>
  <si>
    <t>XGBOOST</t>
  </si>
  <si>
    <t>LECO without Levy</t>
  </si>
  <si>
    <t>GLAM without Levy</t>
  </si>
  <si>
    <t>3.11 seconds --- Logistic Regression --- Accuracy: 0.8625260235947259 Precision: 0.8603755585046547 Recall: 0.8625260235947259 F1 Score: 0.855938187230048 Model Training and Prediction Time: 20.34 seconds</t>
  </si>
  <si>
    <t>ACTUAL</t>
  </si>
  <si>
    <t>fitness - 1.9537</t>
  </si>
  <si>
    <t>Selected Features by AOA: ['eth.src', 'eth.dst', 'ip.dst', 'ip.flags', 'ip.ttl', 'ip.proto', 'tcp.srcport', 'tcp.window_size_value', 'tcp.window_size_scalefactor', 'tcp.pdu.size', 'udp.dstport']</t>
  </si>
  <si>
    <t>fitness - 1.8938</t>
  </si>
  <si>
    <t>Selected Features by CFO: ['frame.protocols', 'ip.dst', 'ip.src', 'ip.flags', 'tcp.srcport', 'tcp.flags', 'tcp.window_size_value', 'udp.dstport']</t>
  </si>
  <si>
    <t>Manipulate</t>
  </si>
  <si>
    <t>Time taken by GLAM (with Levy)</t>
  </si>
  <si>
    <t>Time taken by GLAM (no Levy)</t>
  </si>
  <si>
    <t>GLAM Accuracy (with Levy)</t>
  </si>
  <si>
    <t>GLAM Accuracy (no Levy)</t>
  </si>
  <si>
    <t>LECO Accuracy (with Levy)</t>
  </si>
  <si>
    <t>Time taken by LECO (with Levy)</t>
  </si>
  <si>
    <t>Time taken by LECO (no Levy)</t>
  </si>
  <si>
    <t>LECO Accuracy (no Levy)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</si>
</sst>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b/>
      <sz val="10.5"/>
      <color rgb="FF1F1F1F"/>
      <name val="Arial"/>
      <family val="2"/>
    </font>
    <font>
      <sz val="10.5"/>
      <color rgb="FF1F1F1F"/>
      <name val="Arial"/>
      <family val="2"/>
    </font>
    <font>
      <sz val="12"/>
      <color rgb="FF1F1F1F"/>
      <name val="Times New Roman"/>
      <family val="1"/>
    </font>
    <font>
      <sz val="10"/>
      <color rgb="FF1F1F1F"/>
      <name val="Courier New"/>
      <family val="3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8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6" fillId="0" borderId="0" xfId="0" applyFont="1" applyAlignment="1">
      <alignment vertical="center"/>
    </xf>
    <xf numFmtId="0" fontId="8" fillId="0" borderId="2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/>
    </xf>
    <xf numFmtId="0" fontId="7" fillId="0" borderId="6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/>
    </xf>
    <xf numFmtId="0" fontId="9" fillId="0" borderId="0" xfId="0" applyFont="1"/>
    <xf numFmtId="0" fontId="0" fillId="2" borderId="0" xfId="0" applyFill="1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Sheet2!$A$4:$A$13</c:f>
              <c:strCache>
                <c:ptCount val="10"/>
                <c:pt idx="0">
                  <c:v>Logistic Regression</c:v>
                </c:pt>
                <c:pt idx="1">
                  <c:v>Decision Tree </c:v>
                </c:pt>
                <c:pt idx="2">
                  <c:v>KNN</c:v>
                </c:pt>
                <c:pt idx="3">
                  <c:v>Bagging</c:v>
                </c:pt>
                <c:pt idx="4">
                  <c:v>AdaBoost</c:v>
                </c:pt>
                <c:pt idx="5">
                  <c:v>XGBoost</c:v>
                </c:pt>
                <c:pt idx="6">
                  <c:v>SVM</c:v>
                </c:pt>
                <c:pt idx="7">
                  <c:v>Light GBM</c:v>
                </c:pt>
                <c:pt idx="8">
                  <c:v>Gaussian Naïve Bayes</c:v>
                </c:pt>
                <c:pt idx="9">
                  <c:v>Random Forest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10"/>
                <c:pt idx="0">
                  <c:v>0.79888999999999999</c:v>
                </c:pt>
                <c:pt idx="1">
                  <c:v>0.99931000000000003</c:v>
                </c:pt>
                <c:pt idx="2">
                  <c:v>0.96128000000000002</c:v>
                </c:pt>
                <c:pt idx="3">
                  <c:v>0.99944</c:v>
                </c:pt>
                <c:pt idx="4">
                  <c:v>0.33710000000000001</c:v>
                </c:pt>
                <c:pt idx="5">
                  <c:v>0.99951000000000001</c:v>
                </c:pt>
                <c:pt idx="6">
                  <c:v>0.75246000000000002</c:v>
                </c:pt>
                <c:pt idx="7">
                  <c:v>0.99931000000000003</c:v>
                </c:pt>
                <c:pt idx="8">
                  <c:v>0.67930000000000001</c:v>
                </c:pt>
                <c:pt idx="9">
                  <c:v>0.99944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E-44A1-A80B-BEC817D0C219}"/>
            </c:ext>
          </c:extLst>
        </c:ser>
        <c:ser>
          <c:idx val="1"/>
          <c:order val="1"/>
          <c:tx>
            <c:strRef>
              <c:f>Sheet2!$I$3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Sheet2!$A$4:$A$13</c:f>
              <c:strCache>
                <c:ptCount val="10"/>
                <c:pt idx="0">
                  <c:v>Logistic Regression</c:v>
                </c:pt>
                <c:pt idx="1">
                  <c:v>Decision Tree </c:v>
                </c:pt>
                <c:pt idx="2">
                  <c:v>KNN</c:v>
                </c:pt>
                <c:pt idx="3">
                  <c:v>Bagging</c:v>
                </c:pt>
                <c:pt idx="4">
                  <c:v>AdaBoost</c:v>
                </c:pt>
                <c:pt idx="5">
                  <c:v>XGBoost</c:v>
                </c:pt>
                <c:pt idx="6">
                  <c:v>SVM</c:v>
                </c:pt>
                <c:pt idx="7">
                  <c:v>Light GBM</c:v>
                </c:pt>
                <c:pt idx="8">
                  <c:v>Gaussian Naïve Bayes</c:v>
                </c:pt>
                <c:pt idx="9">
                  <c:v>Random Forest</c:v>
                </c:pt>
              </c:strCache>
            </c:strRef>
          </c:cat>
          <c:val>
            <c:numRef>
              <c:f>Sheet2!$I$4:$I$13</c:f>
              <c:numCache>
                <c:formatCode>General</c:formatCode>
                <c:ptCount val="10"/>
                <c:pt idx="0">
                  <c:v>0.86109999999999998</c:v>
                </c:pt>
                <c:pt idx="1">
                  <c:v>0.99380000000000002</c:v>
                </c:pt>
                <c:pt idx="2">
                  <c:v>0.97519999999999996</c:v>
                </c:pt>
                <c:pt idx="3">
                  <c:v>0.99460000000000004</c:v>
                </c:pt>
                <c:pt idx="4">
                  <c:v>0.32119999999999999</c:v>
                </c:pt>
                <c:pt idx="5">
                  <c:v>0.99670000000000003</c:v>
                </c:pt>
                <c:pt idx="6">
                  <c:v>0.71819999999999995</c:v>
                </c:pt>
                <c:pt idx="7">
                  <c:v>0.38219999999999998</c:v>
                </c:pt>
                <c:pt idx="8">
                  <c:v>0.79710000000000003</c:v>
                </c:pt>
                <c:pt idx="9">
                  <c:v>0.99399999999999999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E-44A1-A80B-BEC817D0C219}"/>
            </c:ext>
          </c:extLst>
        </c:ser>
        <c:ser>
          <c:idx val="2"/>
          <c:order val="2"/>
          <c:tx>
            <c:strRef>
              <c:f>Sheet2!$P$3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Sheet2!$A$4:$A$13</c:f>
              <c:strCache>
                <c:ptCount val="10"/>
                <c:pt idx="0">
                  <c:v>Logistic Regression</c:v>
                </c:pt>
                <c:pt idx="1">
                  <c:v>Decision Tree </c:v>
                </c:pt>
                <c:pt idx="2">
                  <c:v>KNN</c:v>
                </c:pt>
                <c:pt idx="3">
                  <c:v>Bagging</c:v>
                </c:pt>
                <c:pt idx="4">
                  <c:v>AdaBoost</c:v>
                </c:pt>
                <c:pt idx="5">
                  <c:v>XGBoost</c:v>
                </c:pt>
                <c:pt idx="6">
                  <c:v>SVM</c:v>
                </c:pt>
                <c:pt idx="7">
                  <c:v>Light GBM</c:v>
                </c:pt>
                <c:pt idx="8">
                  <c:v>Gaussian Naïve Bayes</c:v>
                </c:pt>
                <c:pt idx="9">
                  <c:v>Random Forest</c:v>
                </c:pt>
              </c:strCache>
            </c:strRef>
          </c:cat>
          <c:val>
            <c:numRef>
              <c:f>Sheet2!$P$4:$P$13</c:f>
              <c:numCache>
                <c:formatCode>General</c:formatCode>
                <c:ptCount val="10"/>
                <c:pt idx="0">
                  <c:v>0.8296</c:v>
                </c:pt>
                <c:pt idx="1">
                  <c:v>0.98960000000000004</c:v>
                </c:pt>
                <c:pt idx="2">
                  <c:v>0.9587</c:v>
                </c:pt>
                <c:pt idx="3">
                  <c:v>0.9919</c:v>
                </c:pt>
                <c:pt idx="4">
                  <c:v>0.33710000000000001</c:v>
                </c:pt>
                <c:pt idx="5">
                  <c:v>0.99429999999999996</c:v>
                </c:pt>
                <c:pt idx="6">
                  <c:v>0.64090000000000003</c:v>
                </c:pt>
                <c:pt idx="7">
                  <c:v>0.36940000000000001</c:v>
                </c:pt>
                <c:pt idx="8">
                  <c:v>0.76049999999999995</c:v>
                </c:pt>
                <c:pt idx="9">
                  <c:v>0.99109999999999998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3E-44A1-A80B-BEC817D0C219}"/>
            </c:ext>
          </c:extLst>
        </c:ser>
        <c:ser>
          <c:idx val="3"/>
          <c:order val="3"/>
          <c:tx>
            <c:strRef>
              <c:f>Sheet2!$W$3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Sheet2!$A$4:$A$13</c:f>
              <c:strCache>
                <c:ptCount val="10"/>
                <c:pt idx="0">
                  <c:v>Logistic Regression</c:v>
                </c:pt>
                <c:pt idx="1">
                  <c:v>Decision Tree </c:v>
                </c:pt>
                <c:pt idx="2">
                  <c:v>KNN</c:v>
                </c:pt>
                <c:pt idx="3">
                  <c:v>Bagging</c:v>
                </c:pt>
                <c:pt idx="4">
                  <c:v>AdaBoost</c:v>
                </c:pt>
                <c:pt idx="5">
                  <c:v>XGBoost</c:v>
                </c:pt>
                <c:pt idx="6">
                  <c:v>SVM</c:v>
                </c:pt>
                <c:pt idx="7">
                  <c:v>Light GBM</c:v>
                </c:pt>
                <c:pt idx="8">
                  <c:v>Gaussian Naïve Bayes</c:v>
                </c:pt>
                <c:pt idx="9">
                  <c:v>Random Forest</c:v>
                </c:pt>
              </c:strCache>
            </c:strRef>
          </c:cat>
          <c:val>
            <c:numRef>
              <c:f>Sheet2!$W$4:$W$13</c:f>
              <c:numCache>
                <c:formatCode>General</c:formatCode>
                <c:ptCount val="10"/>
                <c:pt idx="0">
                  <c:v>0.73609999999999998</c:v>
                </c:pt>
                <c:pt idx="1">
                  <c:v>0.99719999999999998</c:v>
                </c:pt>
                <c:pt idx="2">
                  <c:v>0.95879999999999999</c:v>
                </c:pt>
                <c:pt idx="3">
                  <c:v>0.99729999999999996</c:v>
                </c:pt>
                <c:pt idx="4">
                  <c:v>0.39829999999999999</c:v>
                </c:pt>
                <c:pt idx="5">
                  <c:v>0.99650000000000005</c:v>
                </c:pt>
                <c:pt idx="6">
                  <c:v>0.72389999999999999</c:v>
                </c:pt>
                <c:pt idx="7">
                  <c:v>0.37469999999999998</c:v>
                </c:pt>
                <c:pt idx="8">
                  <c:v>0.66900000000000004</c:v>
                </c:pt>
                <c:pt idx="9">
                  <c:v>0.99709999999999999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3E-44A1-A80B-BEC817D0C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98320"/>
        <c:axId val="102794960"/>
      </c:barChart>
      <c:catAx>
        <c:axId val="10279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94960"/>
        <c:crosses val="autoZero"/>
        <c:auto val="1"/>
        <c:lblAlgn val="ctr"/>
        <c:lblOffset val="100"/>
        <c:noMultiLvlLbl val="0"/>
      </c:catAx>
      <c:valAx>
        <c:axId val="1027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9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GLAM Accuracy (with Levy)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Sheet4!$A$4:$A$13</c:f>
              <c:strCache>
                <c:ptCount val="10"/>
                <c:pt idx="0">
                  <c:v>Logistic Regression</c:v>
                </c:pt>
                <c:pt idx="1">
                  <c:v>Decision Tree</c:v>
                </c:pt>
                <c:pt idx="2">
                  <c:v>KNN</c:v>
                </c:pt>
                <c:pt idx="3">
                  <c:v>Bagging</c:v>
                </c:pt>
                <c:pt idx="4">
                  <c:v>AdaBoost</c:v>
                </c:pt>
                <c:pt idx="5">
                  <c:v>XGBoost</c:v>
                </c:pt>
                <c:pt idx="6">
                  <c:v>SVM</c:v>
                </c:pt>
                <c:pt idx="7">
                  <c:v>Light GBM</c:v>
                </c:pt>
                <c:pt idx="8">
                  <c:v>Gaussian Naïve Bayes</c:v>
                </c:pt>
                <c:pt idx="9">
                  <c:v>Random Forest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10"/>
                <c:pt idx="0">
                  <c:v>0.73609999999999998</c:v>
                </c:pt>
                <c:pt idx="1">
                  <c:v>0.99719999999999998</c:v>
                </c:pt>
                <c:pt idx="2">
                  <c:v>0.95879999999999999</c:v>
                </c:pt>
                <c:pt idx="3">
                  <c:v>0.99729999999999996</c:v>
                </c:pt>
                <c:pt idx="4">
                  <c:v>0.39829999999999999</c:v>
                </c:pt>
                <c:pt idx="5">
                  <c:v>0.99650000000000005</c:v>
                </c:pt>
                <c:pt idx="6">
                  <c:v>0.72389999999999999</c:v>
                </c:pt>
                <c:pt idx="7">
                  <c:v>0.37469999999999998</c:v>
                </c:pt>
                <c:pt idx="8">
                  <c:v>0.66900000000000004</c:v>
                </c:pt>
                <c:pt idx="9">
                  <c:v>0.99709999999999999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3-4A11-94E5-8D1D2962E85C}"/>
            </c:ext>
          </c:extLst>
        </c:ser>
        <c:ser>
          <c:idx val="1"/>
          <c:order val="1"/>
          <c:tx>
            <c:strRef>
              <c:f>Sheet4!$J$3</c:f>
              <c:strCache>
                <c:ptCount val="1"/>
                <c:pt idx="0">
                  <c:v>GLAM Accuracy (no Levy)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Sheet4!$A$4:$A$13</c:f>
              <c:strCache>
                <c:ptCount val="10"/>
                <c:pt idx="0">
                  <c:v>Logistic Regression</c:v>
                </c:pt>
                <c:pt idx="1">
                  <c:v>Decision Tree</c:v>
                </c:pt>
                <c:pt idx="2">
                  <c:v>KNN</c:v>
                </c:pt>
                <c:pt idx="3">
                  <c:v>Bagging</c:v>
                </c:pt>
                <c:pt idx="4">
                  <c:v>AdaBoost</c:v>
                </c:pt>
                <c:pt idx="5">
                  <c:v>XGBoost</c:v>
                </c:pt>
                <c:pt idx="6">
                  <c:v>SVM</c:v>
                </c:pt>
                <c:pt idx="7">
                  <c:v>Light GBM</c:v>
                </c:pt>
                <c:pt idx="8">
                  <c:v>Gaussian Naïve Bayes</c:v>
                </c:pt>
                <c:pt idx="9">
                  <c:v>Random Forest</c:v>
                </c:pt>
              </c:strCache>
            </c:strRef>
          </c:cat>
          <c:val>
            <c:numRef>
              <c:f>Sheet4!$J$4:$J$13</c:f>
              <c:numCache>
                <c:formatCode>General</c:formatCode>
                <c:ptCount val="10"/>
                <c:pt idx="0">
                  <c:v>0.72330000000000005</c:v>
                </c:pt>
                <c:pt idx="1">
                  <c:v>0.99650000000000005</c:v>
                </c:pt>
                <c:pt idx="2">
                  <c:v>0.93110000000000004</c:v>
                </c:pt>
                <c:pt idx="3">
                  <c:v>0.99209999999999998</c:v>
                </c:pt>
                <c:pt idx="4">
                  <c:v>0.33260000000000001</c:v>
                </c:pt>
                <c:pt idx="5">
                  <c:v>0.99129999999999996</c:v>
                </c:pt>
                <c:pt idx="6">
                  <c:v>0.71709999999999996</c:v>
                </c:pt>
                <c:pt idx="7">
                  <c:v>0.33539999999999998</c:v>
                </c:pt>
                <c:pt idx="8">
                  <c:v>0.65069999999999995</c:v>
                </c:pt>
                <c:pt idx="9">
                  <c:v>0.99650000000000005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63-4A11-94E5-8D1D2962E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8802991"/>
        <c:axId val="1908801551"/>
      </c:barChart>
      <c:catAx>
        <c:axId val="19088029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ML Classifiers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801551"/>
        <c:crosses val="autoZero"/>
        <c:auto val="1"/>
        <c:lblAlgn val="ctr"/>
        <c:lblOffset val="100"/>
        <c:noMultiLvlLbl val="0"/>
      </c:catAx>
      <c:valAx>
        <c:axId val="190880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80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Sheet4!$F$3</c:f>
              <c:strCache>
                <c:ptCount val="1"/>
                <c:pt idx="0">
                  <c:v>Time taken by GLAM (with Levy)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(Sheet4!$A$4:$A$9,Sheet4!$A$11:$A$13)</c:f>
              <c:strCache>
                <c:ptCount val="9"/>
                <c:pt idx="0">
                  <c:v>Logistic Regression</c:v>
                </c:pt>
                <c:pt idx="1">
                  <c:v>Decision Tree</c:v>
                </c:pt>
                <c:pt idx="2">
                  <c:v>KNN</c:v>
                </c:pt>
                <c:pt idx="3">
                  <c:v>Bagging</c:v>
                </c:pt>
                <c:pt idx="4">
                  <c:v>AdaBoost</c:v>
                </c:pt>
                <c:pt idx="5">
                  <c:v>XGBoost</c:v>
                </c:pt>
                <c:pt idx="6">
                  <c:v>Light GBM</c:v>
                </c:pt>
                <c:pt idx="7">
                  <c:v>Gaussian Naïve Bayes</c:v>
                </c:pt>
                <c:pt idx="8">
                  <c:v>Random Forest</c:v>
                </c:pt>
              </c:strCache>
            </c:strRef>
          </c:cat>
          <c:val>
            <c:numRef>
              <c:f>(Sheet4!$F$4:$F$9,Sheet4!$F$11:$F$13)</c:f>
              <c:numCache>
                <c:formatCode>General</c:formatCode>
                <c:ptCount val="9"/>
                <c:pt idx="0">
                  <c:v>11.28</c:v>
                </c:pt>
                <c:pt idx="1">
                  <c:v>0.16</c:v>
                </c:pt>
                <c:pt idx="2">
                  <c:v>1.08</c:v>
                </c:pt>
                <c:pt idx="3">
                  <c:v>0.62</c:v>
                </c:pt>
                <c:pt idx="4">
                  <c:v>1.29</c:v>
                </c:pt>
                <c:pt idx="5">
                  <c:v>6.4</c:v>
                </c:pt>
                <c:pt idx="6">
                  <c:v>7.43</c:v>
                </c:pt>
                <c:pt idx="7">
                  <c:v>0.03</c:v>
                </c:pt>
                <c:pt idx="8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95-4CF9-A278-0C509CDB00A4}"/>
            </c:ext>
          </c:extLst>
        </c:ser>
        <c:ser>
          <c:idx val="1"/>
          <c:order val="1"/>
          <c:tx>
            <c:strRef>
              <c:f>Sheet4!$N$3</c:f>
              <c:strCache>
                <c:ptCount val="1"/>
                <c:pt idx="0">
                  <c:v>Time taken by GLAM (no Levy)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(Sheet4!$A$4:$A$9,Sheet4!$A$11:$A$13)</c:f>
              <c:strCache>
                <c:ptCount val="9"/>
                <c:pt idx="0">
                  <c:v>Logistic Regression</c:v>
                </c:pt>
                <c:pt idx="1">
                  <c:v>Decision Tree</c:v>
                </c:pt>
                <c:pt idx="2">
                  <c:v>KNN</c:v>
                </c:pt>
                <c:pt idx="3">
                  <c:v>Bagging</c:v>
                </c:pt>
                <c:pt idx="4">
                  <c:v>AdaBoost</c:v>
                </c:pt>
                <c:pt idx="5">
                  <c:v>XGBoost</c:v>
                </c:pt>
                <c:pt idx="6">
                  <c:v>Light GBM</c:v>
                </c:pt>
                <c:pt idx="7">
                  <c:v>Gaussian Naïve Bayes</c:v>
                </c:pt>
                <c:pt idx="8">
                  <c:v>Random Forest</c:v>
                </c:pt>
              </c:strCache>
            </c:strRef>
          </c:cat>
          <c:val>
            <c:numRef>
              <c:f>(Sheet4!$N$4:$N$9,Sheet4!$N$11:$N$13)</c:f>
              <c:numCache>
                <c:formatCode>General</c:formatCode>
                <c:ptCount val="9"/>
                <c:pt idx="0">
                  <c:v>20.34</c:v>
                </c:pt>
                <c:pt idx="1">
                  <c:v>0.15</c:v>
                </c:pt>
                <c:pt idx="2">
                  <c:v>1.1200000000000001</c:v>
                </c:pt>
                <c:pt idx="3">
                  <c:v>0.77</c:v>
                </c:pt>
                <c:pt idx="4">
                  <c:v>1.46</c:v>
                </c:pt>
                <c:pt idx="5">
                  <c:v>10.08</c:v>
                </c:pt>
                <c:pt idx="6">
                  <c:v>10.58</c:v>
                </c:pt>
                <c:pt idx="7">
                  <c:v>0.05</c:v>
                </c:pt>
                <c:pt idx="8">
                  <c:v>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95-4CF9-A278-0C509CDB0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496175"/>
        <c:axId val="1965497135"/>
      </c:lineChart>
      <c:catAx>
        <c:axId val="1965496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ML Classifiers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97135"/>
        <c:crosses val="autoZero"/>
        <c:auto val="1"/>
        <c:lblAlgn val="ctr"/>
        <c:lblOffset val="100"/>
        <c:noMultiLvlLbl val="0"/>
      </c:catAx>
      <c:valAx>
        <c:axId val="196549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49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LECO Accuracy (with Levy)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Sheet5!$A$4:$A$13</c:f>
              <c:strCache>
                <c:ptCount val="10"/>
                <c:pt idx="0">
                  <c:v>Logistic Regression</c:v>
                </c:pt>
                <c:pt idx="1">
                  <c:v>Decision Tree</c:v>
                </c:pt>
                <c:pt idx="2">
                  <c:v>KNN</c:v>
                </c:pt>
                <c:pt idx="3">
                  <c:v>Bagging</c:v>
                </c:pt>
                <c:pt idx="4">
                  <c:v>AdaBoost</c:v>
                </c:pt>
                <c:pt idx="5">
                  <c:v>XGBoost</c:v>
                </c:pt>
                <c:pt idx="6">
                  <c:v>SVM</c:v>
                </c:pt>
                <c:pt idx="7">
                  <c:v>Light GBM</c:v>
                </c:pt>
                <c:pt idx="8">
                  <c:v>Gaussian Naïve Bayes</c:v>
                </c:pt>
                <c:pt idx="9">
                  <c:v>Random Forest</c:v>
                </c:pt>
              </c:strCache>
            </c:strRef>
          </c:cat>
          <c:val>
            <c:numRef>
              <c:f>Sheet5!$B$4:$B$13</c:f>
              <c:numCache>
                <c:formatCode>General</c:formatCode>
                <c:ptCount val="10"/>
                <c:pt idx="0">
                  <c:v>0.8296</c:v>
                </c:pt>
                <c:pt idx="1">
                  <c:v>0.98960000000000004</c:v>
                </c:pt>
                <c:pt idx="2">
                  <c:v>0.9587</c:v>
                </c:pt>
                <c:pt idx="3">
                  <c:v>0.9919</c:v>
                </c:pt>
                <c:pt idx="4">
                  <c:v>0.33710000000000001</c:v>
                </c:pt>
                <c:pt idx="5">
                  <c:v>0.99429999999999996</c:v>
                </c:pt>
                <c:pt idx="6">
                  <c:v>0.64090000000000003</c:v>
                </c:pt>
                <c:pt idx="7">
                  <c:v>0.36940000000000001</c:v>
                </c:pt>
                <c:pt idx="8">
                  <c:v>0.76049999999999995</c:v>
                </c:pt>
                <c:pt idx="9">
                  <c:v>0.99109999999999998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D-4B44-B217-71AD72F70B0D}"/>
            </c:ext>
          </c:extLst>
        </c:ser>
        <c:ser>
          <c:idx val="1"/>
          <c:order val="1"/>
          <c:tx>
            <c:strRef>
              <c:f>Sheet5!$I$3</c:f>
              <c:strCache>
                <c:ptCount val="1"/>
                <c:pt idx="0">
                  <c:v>LECO Accuracy (no Levy)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Sheet5!$A$4:$A$13</c:f>
              <c:strCache>
                <c:ptCount val="10"/>
                <c:pt idx="0">
                  <c:v>Logistic Regression</c:v>
                </c:pt>
                <c:pt idx="1">
                  <c:v>Decision Tree</c:v>
                </c:pt>
                <c:pt idx="2">
                  <c:v>KNN</c:v>
                </c:pt>
                <c:pt idx="3">
                  <c:v>Bagging</c:v>
                </c:pt>
                <c:pt idx="4">
                  <c:v>AdaBoost</c:v>
                </c:pt>
                <c:pt idx="5">
                  <c:v>XGBoost</c:v>
                </c:pt>
                <c:pt idx="6">
                  <c:v>SVM</c:v>
                </c:pt>
                <c:pt idx="7">
                  <c:v>Light GBM</c:v>
                </c:pt>
                <c:pt idx="8">
                  <c:v>Gaussian Naïve Bayes</c:v>
                </c:pt>
                <c:pt idx="9">
                  <c:v>Random Forest</c:v>
                </c:pt>
              </c:strCache>
            </c:strRef>
          </c:cat>
          <c:val>
            <c:numRef>
              <c:f>Sheet5!$I$4:$I$13</c:f>
              <c:numCache>
                <c:formatCode>General</c:formatCode>
                <c:ptCount val="10"/>
                <c:pt idx="0">
                  <c:v>0.74019999999999997</c:v>
                </c:pt>
                <c:pt idx="1">
                  <c:v>0.97670000000000001</c:v>
                </c:pt>
                <c:pt idx="2">
                  <c:v>0.93630000000000002</c:v>
                </c:pt>
                <c:pt idx="3">
                  <c:v>0.98729999999999996</c:v>
                </c:pt>
                <c:pt idx="4">
                  <c:v>0.31580000000000003</c:v>
                </c:pt>
                <c:pt idx="5">
                  <c:v>0.9879</c:v>
                </c:pt>
                <c:pt idx="6">
                  <c:v>0.51849999999999996</c:v>
                </c:pt>
                <c:pt idx="7">
                  <c:v>0.33250000000000002</c:v>
                </c:pt>
                <c:pt idx="8">
                  <c:v>0.73319999999999996</c:v>
                </c:pt>
                <c:pt idx="9">
                  <c:v>0.98619999999999997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5D-4B44-B217-71AD72F70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6452095"/>
        <c:axId val="1906450655"/>
      </c:barChart>
      <c:catAx>
        <c:axId val="19064520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ML Classifiers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450655"/>
        <c:crosses val="autoZero"/>
        <c:auto val="1"/>
        <c:lblAlgn val="ctr"/>
        <c:lblOffset val="100"/>
        <c:noMultiLvlLbl val="0"/>
      </c:catAx>
      <c:valAx>
        <c:axId val="190645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45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Sheet5!$F$3</c:f>
              <c:strCache>
                <c:ptCount val="1"/>
                <c:pt idx="0">
                  <c:v>Time taken by LECO (with Levy)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(Sheet5!$A$4:$A$9,Sheet5!$A$11:$A$13)</c:f>
              <c:strCache>
                <c:ptCount val="9"/>
                <c:pt idx="0">
                  <c:v>Logistic Regression</c:v>
                </c:pt>
                <c:pt idx="1">
                  <c:v>Decision Tree</c:v>
                </c:pt>
                <c:pt idx="2">
                  <c:v>KNN</c:v>
                </c:pt>
                <c:pt idx="3">
                  <c:v>Bagging</c:v>
                </c:pt>
                <c:pt idx="4">
                  <c:v>AdaBoost</c:v>
                </c:pt>
                <c:pt idx="5">
                  <c:v>XGBoost</c:v>
                </c:pt>
                <c:pt idx="6">
                  <c:v>Light GBM</c:v>
                </c:pt>
                <c:pt idx="7">
                  <c:v>Gaussian Naïve Bayes</c:v>
                </c:pt>
                <c:pt idx="8">
                  <c:v>Random Forest</c:v>
                </c:pt>
              </c:strCache>
            </c:strRef>
          </c:cat>
          <c:val>
            <c:numRef>
              <c:f>(Sheet5!$F$4:$F$9,Sheet5!$F$11:$F$13)</c:f>
              <c:numCache>
                <c:formatCode>General</c:formatCode>
                <c:ptCount val="9"/>
                <c:pt idx="0">
                  <c:v>16.600000000000001</c:v>
                </c:pt>
                <c:pt idx="1">
                  <c:v>0.14000000000000001</c:v>
                </c:pt>
                <c:pt idx="2">
                  <c:v>0.71</c:v>
                </c:pt>
                <c:pt idx="3">
                  <c:v>0.71</c:v>
                </c:pt>
                <c:pt idx="4">
                  <c:v>1.73</c:v>
                </c:pt>
                <c:pt idx="5">
                  <c:v>7.03</c:v>
                </c:pt>
                <c:pt idx="6">
                  <c:v>7.13</c:v>
                </c:pt>
                <c:pt idx="7">
                  <c:v>0.03</c:v>
                </c:pt>
                <c:pt idx="8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F-4D83-8281-EA3C44438A31}"/>
            </c:ext>
          </c:extLst>
        </c:ser>
        <c:ser>
          <c:idx val="1"/>
          <c:order val="1"/>
          <c:tx>
            <c:strRef>
              <c:f>Sheet5!$M$3</c:f>
              <c:strCache>
                <c:ptCount val="1"/>
                <c:pt idx="0">
                  <c:v>Time taken by LECO (no Levy)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(Sheet5!$A$4:$A$9,Sheet5!$A$11:$A$13)</c:f>
              <c:strCache>
                <c:ptCount val="9"/>
                <c:pt idx="0">
                  <c:v>Logistic Regression</c:v>
                </c:pt>
                <c:pt idx="1">
                  <c:v>Decision Tree</c:v>
                </c:pt>
                <c:pt idx="2">
                  <c:v>KNN</c:v>
                </c:pt>
                <c:pt idx="3">
                  <c:v>Bagging</c:v>
                </c:pt>
                <c:pt idx="4">
                  <c:v>AdaBoost</c:v>
                </c:pt>
                <c:pt idx="5">
                  <c:v>XGBoost</c:v>
                </c:pt>
                <c:pt idx="6">
                  <c:v>Light GBM</c:v>
                </c:pt>
                <c:pt idx="7">
                  <c:v>Gaussian Naïve Bayes</c:v>
                </c:pt>
                <c:pt idx="8">
                  <c:v>Random Forest</c:v>
                </c:pt>
              </c:strCache>
            </c:strRef>
          </c:cat>
          <c:val>
            <c:numRef>
              <c:f>(Sheet5!$M$4:$M$9,Sheet5!$M$11:$M$13)</c:f>
              <c:numCache>
                <c:formatCode>General</c:formatCode>
                <c:ptCount val="9"/>
                <c:pt idx="0">
                  <c:v>17.100000000000001</c:v>
                </c:pt>
                <c:pt idx="1">
                  <c:v>0.2</c:v>
                </c:pt>
                <c:pt idx="2">
                  <c:v>1.35</c:v>
                </c:pt>
                <c:pt idx="3">
                  <c:v>0.74</c:v>
                </c:pt>
                <c:pt idx="4">
                  <c:v>1.99</c:v>
                </c:pt>
                <c:pt idx="5">
                  <c:v>7.24</c:v>
                </c:pt>
                <c:pt idx="6">
                  <c:v>7.17</c:v>
                </c:pt>
                <c:pt idx="7">
                  <c:v>0.03</c:v>
                </c:pt>
                <c:pt idx="8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1F-4D83-8281-EA3C44438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799343"/>
        <c:axId val="2024799823"/>
      </c:lineChart>
      <c:catAx>
        <c:axId val="202479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ML Classifiers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799823"/>
        <c:crosses val="autoZero"/>
        <c:auto val="1"/>
        <c:lblAlgn val="ctr"/>
        <c:lblOffset val="100"/>
        <c:noMultiLvlLbl val="0"/>
      </c:catAx>
      <c:valAx>
        <c:axId val="202479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79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259080</xdr:colOff>
      <xdr:row>21</xdr:row>
      <xdr:rowOff>156210</xdr:rowOff>
    </xdr:from>
    <xdr:to>
      <xdr:col>14</xdr:col>
      <xdr:colOff>563880</xdr:colOff>
      <xdr:row>36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96440-79C9-6297-BCDE-1F6B933F0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571500</xdr:colOff>
      <xdr:row>2</xdr:row>
      <xdr:rowOff>316230</xdr:rowOff>
    </xdr:from>
    <xdr:to>
      <xdr:col>22</xdr:col>
      <xdr:colOff>266700</xdr:colOff>
      <xdr:row>8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03EC7C-918F-2549-59CA-8AE383316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548640</xdr:colOff>
      <xdr:row>8</xdr:row>
      <xdr:rowOff>209550</xdr:rowOff>
    </xdr:from>
    <xdr:to>
      <xdr:col>22</xdr:col>
      <xdr:colOff>243840</xdr:colOff>
      <xdr:row>18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3B8EE7-BDBF-31E2-1321-1FE281579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121920</xdr:colOff>
      <xdr:row>2</xdr:row>
      <xdr:rowOff>87630</xdr:rowOff>
    </xdr:from>
    <xdr:to>
      <xdr:col>21</xdr:col>
      <xdr:colOff>426720</xdr:colOff>
      <xdr:row>7</xdr:row>
      <xdr:rowOff>217170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D491F0-7E8B-292F-9929-9E6E4CC2C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121920</xdr:colOff>
      <xdr:row>7</xdr:row>
      <xdr:rowOff>346710</xdr:rowOff>
    </xdr:from>
    <xdr:to>
      <xdr:col>21</xdr:col>
      <xdr:colOff>426720</xdr:colOff>
      <xdr:row>16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0E77E1-C6B8-8ABF-D851-A8783FA89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24</xdr:col>
      <xdr:colOff>0</xdr:colOff>
      <xdr:row>1</xdr:row>
      <xdr:rowOff>0</xdr:rowOff>
    </xdr:from>
    <xdr:to>
      <xdr:col>31</xdr:col>
      <xdr:colOff>317389</xdr:colOff>
      <xdr:row>6</xdr:row>
      <xdr:rowOff>153108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5CA1F7-4636-C11B-4ABA-688DCA06F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30400" y="181708"/>
          <a:ext cx="4584589" cy="2755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9625-E01D-4AA6-8231-4826E90AD9EC}">
  <dimension ref="A1:H21"/>
  <sheetViews>
    <sheetView zoomScale="94" workbookViewId="0">
      <selection activeCell="F18" sqref="F18"/>
    </sheetView>
  </sheetViews>
  <sheetFormatPr defaultRowHeight="14.4" x14ac:dyDescent="0.3"/>
  <cols>
    <col min="3" max="3" width="12.6640625" bestFit="1" customWidth="1"/>
  </cols>
  <sheetData>
    <row r="1" spans="1:8" ht="31.2" customHeight="1" thickBot="1" x14ac:dyDescent="0.35">
      <c r="A1" s="12" t="s">
        <v>0</v>
      </c>
      <c r="B1" s="14" t="s">
        <v>1</v>
      </c>
      <c r="C1" s="15"/>
      <c r="D1" s="14" t="s">
        <v>2</v>
      </c>
      <c r="E1" s="15"/>
    </row>
    <row r="2" spans="1:8" ht="31.8" thickBot="1" x14ac:dyDescent="0.35">
      <c r="A2" s="13"/>
      <c r="B2" s="1" t="s">
        <v>3</v>
      </c>
      <c r="C2" s="1" t="s">
        <v>4</v>
      </c>
      <c r="D2" s="1" t="s">
        <v>3</v>
      </c>
      <c r="E2" s="1" t="s">
        <v>4</v>
      </c>
    </row>
    <row r="3" spans="1:8" ht="55.8" thickBot="1" x14ac:dyDescent="0.35">
      <c r="A3" s="2" t="s">
        <v>5</v>
      </c>
      <c r="B3" s="3">
        <v>2835298</v>
      </c>
      <c r="C3" s="4">
        <f>ROUND(B3/$B$21*100,3)</f>
        <v>37.161000000000001</v>
      </c>
      <c r="D3" s="4">
        <v>5000</v>
      </c>
      <c r="E3" s="4">
        <f>ROUND(D3/$D$21*100,3)</f>
        <v>6.94</v>
      </c>
      <c r="H3" s="5" t="s">
        <v>23</v>
      </c>
    </row>
    <row r="4" spans="1:8" ht="55.8" thickBot="1" x14ac:dyDescent="0.35">
      <c r="A4" s="2" t="s">
        <v>6</v>
      </c>
      <c r="B4" s="3">
        <v>2074355</v>
      </c>
      <c r="C4" s="4">
        <f t="shared" ref="C4:C20" si="0">ROUND(B4/$B$21*100,3)</f>
        <v>27.187000000000001</v>
      </c>
      <c r="D4" s="4">
        <v>5000</v>
      </c>
      <c r="E4" s="4">
        <f t="shared" ref="E4:E20" si="1">ROUND(D4/$D$21*100,3)</f>
        <v>6.94</v>
      </c>
      <c r="H4" s="5" t="s">
        <v>24</v>
      </c>
    </row>
    <row r="5" spans="1:8" ht="55.8" thickBot="1" x14ac:dyDescent="0.35">
      <c r="A5" s="2" t="s">
        <v>7</v>
      </c>
      <c r="B5" s="3">
        <v>1884818</v>
      </c>
      <c r="C5" s="4">
        <f t="shared" si="0"/>
        <v>24.702999999999999</v>
      </c>
      <c r="D5" s="4">
        <v>5000</v>
      </c>
      <c r="E5" s="4">
        <f t="shared" si="1"/>
        <v>6.94</v>
      </c>
      <c r="H5" s="5" t="s">
        <v>25</v>
      </c>
    </row>
    <row r="6" spans="1:8" ht="28.2" thickBot="1" x14ac:dyDescent="0.35">
      <c r="A6" s="2" t="s">
        <v>8</v>
      </c>
      <c r="B6" s="3">
        <v>347566</v>
      </c>
      <c r="C6" s="4">
        <f t="shared" si="0"/>
        <v>4.5549999999999997</v>
      </c>
      <c r="D6" s="4">
        <v>5000</v>
      </c>
      <c r="E6" s="4">
        <f t="shared" si="1"/>
        <v>6.94</v>
      </c>
      <c r="H6" s="5" t="s">
        <v>26</v>
      </c>
    </row>
    <row r="7" spans="1:8" ht="42" thickBot="1" x14ac:dyDescent="0.35">
      <c r="A7" s="2" t="s">
        <v>9</v>
      </c>
      <c r="B7" s="3">
        <v>274837</v>
      </c>
      <c r="C7" s="4">
        <f t="shared" si="0"/>
        <v>3.6019999999999999</v>
      </c>
      <c r="D7" s="4">
        <v>5000</v>
      </c>
      <c r="E7" s="4">
        <f t="shared" si="1"/>
        <v>6.94</v>
      </c>
      <c r="H7" s="5" t="s">
        <v>27</v>
      </c>
    </row>
    <row r="8" spans="1:8" ht="42" thickBot="1" x14ac:dyDescent="0.35">
      <c r="A8" s="2" t="s">
        <v>10</v>
      </c>
      <c r="B8" s="3">
        <v>106736</v>
      </c>
      <c r="C8" s="4">
        <f t="shared" si="0"/>
        <v>1.399</v>
      </c>
      <c r="D8" s="4">
        <v>5000</v>
      </c>
      <c r="E8" s="4">
        <f t="shared" si="1"/>
        <v>6.94</v>
      </c>
      <c r="H8" s="5" t="s">
        <v>28</v>
      </c>
    </row>
    <row r="9" spans="1:8" ht="55.8" thickBot="1" x14ac:dyDescent="0.35">
      <c r="A9" s="2" t="s">
        <v>11</v>
      </c>
      <c r="B9" s="3">
        <v>40000</v>
      </c>
      <c r="C9" s="4">
        <f t="shared" si="0"/>
        <v>0.52400000000000002</v>
      </c>
      <c r="D9" s="4">
        <v>5000</v>
      </c>
      <c r="E9" s="4">
        <f t="shared" si="1"/>
        <v>6.94</v>
      </c>
      <c r="H9" s="5" t="s">
        <v>29</v>
      </c>
    </row>
    <row r="10" spans="1:8" ht="55.8" thickBot="1" x14ac:dyDescent="0.35">
      <c r="A10" s="2" t="s">
        <v>12</v>
      </c>
      <c r="B10" s="3">
        <v>18615</v>
      </c>
      <c r="C10" s="4">
        <f t="shared" si="0"/>
        <v>0.24399999999999999</v>
      </c>
      <c r="D10" s="4">
        <v>5000</v>
      </c>
      <c r="E10" s="4">
        <f t="shared" si="1"/>
        <v>6.94</v>
      </c>
      <c r="H10" s="5" t="s">
        <v>30</v>
      </c>
    </row>
    <row r="11" spans="1:8" ht="55.8" thickBot="1" x14ac:dyDescent="0.35">
      <c r="A11" s="2" t="s">
        <v>13</v>
      </c>
      <c r="B11" s="3">
        <v>10236</v>
      </c>
      <c r="C11" s="4">
        <f t="shared" si="0"/>
        <v>0.13400000000000001</v>
      </c>
      <c r="D11" s="4">
        <v>5000</v>
      </c>
      <c r="E11" s="4">
        <f t="shared" si="1"/>
        <v>6.94</v>
      </c>
      <c r="H11" s="5" t="s">
        <v>31</v>
      </c>
    </row>
    <row r="12" spans="1:8" ht="55.8" thickBot="1" x14ac:dyDescent="0.35">
      <c r="A12" s="2" t="s">
        <v>14</v>
      </c>
      <c r="B12" s="3">
        <v>10000</v>
      </c>
      <c r="C12" s="4">
        <f t="shared" si="0"/>
        <v>0.13100000000000001</v>
      </c>
      <c r="D12" s="4">
        <v>5000</v>
      </c>
      <c r="E12" s="4">
        <f t="shared" si="1"/>
        <v>6.94</v>
      </c>
      <c r="H12" s="5" t="s">
        <v>32</v>
      </c>
    </row>
    <row r="13" spans="1:8" ht="55.8" thickBot="1" x14ac:dyDescent="0.35">
      <c r="A13" s="2" t="s">
        <v>15</v>
      </c>
      <c r="B13" s="3">
        <v>9933</v>
      </c>
      <c r="C13" s="4">
        <f t="shared" si="0"/>
        <v>0.13</v>
      </c>
      <c r="D13" s="4">
        <v>5000</v>
      </c>
      <c r="E13" s="4">
        <f t="shared" si="1"/>
        <v>6.94</v>
      </c>
      <c r="H13" s="5" t="s">
        <v>33</v>
      </c>
    </row>
    <row r="14" spans="1:8" ht="16.2" thickBot="1" x14ac:dyDescent="0.35">
      <c r="A14" s="2" t="s">
        <v>16</v>
      </c>
      <c r="B14" s="3">
        <v>5386</v>
      </c>
      <c r="C14" s="4">
        <f t="shared" si="0"/>
        <v>7.0999999999999994E-2</v>
      </c>
      <c r="D14" s="4">
        <v>5000</v>
      </c>
      <c r="E14" s="4">
        <f t="shared" si="1"/>
        <v>6.94</v>
      </c>
      <c r="H14" s="5" t="s">
        <v>34</v>
      </c>
    </row>
    <row r="15" spans="1:8" ht="28.2" thickBot="1" x14ac:dyDescent="0.35">
      <c r="A15" s="2" t="s">
        <v>17</v>
      </c>
      <c r="B15" s="3">
        <v>4242</v>
      </c>
      <c r="C15" s="4">
        <f t="shared" si="0"/>
        <v>5.6000000000000001E-2</v>
      </c>
      <c r="D15" s="4">
        <v>4242</v>
      </c>
      <c r="E15" s="4">
        <f t="shared" si="1"/>
        <v>5.8879999999999999</v>
      </c>
      <c r="H15" s="5" t="s">
        <v>35</v>
      </c>
    </row>
    <row r="16" spans="1:8" ht="42" thickBot="1" x14ac:dyDescent="0.35">
      <c r="A16" s="2" t="s">
        <v>18</v>
      </c>
      <c r="B16" s="3">
        <v>3587</v>
      </c>
      <c r="C16" s="4">
        <f t="shared" si="0"/>
        <v>4.7E-2</v>
      </c>
      <c r="D16" s="4">
        <v>3587</v>
      </c>
      <c r="E16" s="4">
        <f t="shared" si="1"/>
        <v>4.9790000000000001</v>
      </c>
      <c r="H16" s="5" t="s">
        <v>36</v>
      </c>
    </row>
    <row r="17" spans="1:8" ht="28.2" thickBot="1" x14ac:dyDescent="0.35">
      <c r="A17" s="2" t="s">
        <v>19</v>
      </c>
      <c r="B17" s="3">
        <v>3372</v>
      </c>
      <c r="C17" s="4">
        <f t="shared" si="0"/>
        <v>4.3999999999999997E-2</v>
      </c>
      <c r="D17" s="4">
        <v>3372</v>
      </c>
      <c r="E17" s="4">
        <f t="shared" si="1"/>
        <v>4.68</v>
      </c>
      <c r="H17" s="5" t="s">
        <v>37</v>
      </c>
    </row>
    <row r="18" spans="1:8" ht="55.8" thickBot="1" x14ac:dyDescent="0.35">
      <c r="A18" s="2" t="s">
        <v>20</v>
      </c>
      <c r="B18" s="3">
        <v>358</v>
      </c>
      <c r="C18" s="4">
        <f t="shared" si="0"/>
        <v>5.0000000000000001E-3</v>
      </c>
      <c r="D18" s="4">
        <v>358</v>
      </c>
      <c r="E18" s="4">
        <f t="shared" si="1"/>
        <v>0.497</v>
      </c>
      <c r="H18" s="5" t="s">
        <v>38</v>
      </c>
    </row>
    <row r="19" spans="1:8" ht="42" thickBot="1" x14ac:dyDescent="0.35">
      <c r="A19" s="2" t="s">
        <v>21</v>
      </c>
      <c r="B19" s="3">
        <v>272</v>
      </c>
      <c r="C19" s="4">
        <f t="shared" si="0"/>
        <v>4.0000000000000001E-3</v>
      </c>
      <c r="D19" s="4">
        <v>272</v>
      </c>
      <c r="E19" s="4">
        <f t="shared" si="1"/>
        <v>0.378</v>
      </c>
      <c r="H19" s="5" t="s">
        <v>39</v>
      </c>
    </row>
    <row r="20" spans="1:8" ht="28.2" thickBot="1" x14ac:dyDescent="0.35">
      <c r="A20" s="2" t="s">
        <v>22</v>
      </c>
      <c r="B20" s="3">
        <v>216</v>
      </c>
      <c r="C20" s="4">
        <f t="shared" si="0"/>
        <v>3.0000000000000001E-3</v>
      </c>
      <c r="D20" s="4">
        <v>216</v>
      </c>
      <c r="E20" s="4">
        <f t="shared" si="1"/>
        <v>0.3</v>
      </c>
      <c r="H20" s="5" t="s">
        <v>40</v>
      </c>
    </row>
    <row r="21" spans="1:8" x14ac:dyDescent="0.3">
      <c r="B21">
        <f>SUM(B3:B20)</f>
        <v>7629827</v>
      </c>
      <c r="D21">
        <f>SUM(D3:D20)</f>
        <v>72047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1B17-DB0F-4578-83B7-D23FCC5B5CF8}">
  <dimension ref="A1:AO14"/>
  <sheetViews>
    <sheetView topLeftCell="B1" workbookViewId="0">
      <selection activeCell="N9" sqref="N9"/>
    </sheetView>
  </sheetViews>
  <sheetFormatPr defaultRowHeight="14.4" x14ac:dyDescent="0.3"/>
  <sheetData>
    <row r="1" spans="1:41" x14ac:dyDescent="0.3">
      <c r="A1" t="s">
        <v>55</v>
      </c>
      <c r="H1" t="s">
        <v>58</v>
      </c>
      <c r="O1" t="s">
        <v>59</v>
      </c>
      <c r="V1" t="s">
        <v>61</v>
      </c>
      <c r="AC1" t="s">
        <v>63</v>
      </c>
      <c r="AE1" s="11" t="s">
        <v>66</v>
      </c>
      <c r="AJ1" t="s">
        <v>64</v>
      </c>
      <c r="AL1" s="11" t="s">
        <v>66</v>
      </c>
    </row>
    <row r="2" spans="1:41" ht="15" thickBot="1" x14ac:dyDescent="0.35">
      <c r="AC2" t="s">
        <v>69</v>
      </c>
      <c r="AE2" s="10" t="s">
        <v>70</v>
      </c>
      <c r="AJ2" t="s">
        <v>67</v>
      </c>
      <c r="AL2" s="10" t="s">
        <v>68</v>
      </c>
    </row>
    <row r="3" spans="1:41" ht="61.8" customHeight="1" thickBot="1" x14ac:dyDescent="0.35">
      <c r="A3" s="8" t="s">
        <v>41</v>
      </c>
      <c r="B3" s="9" t="s">
        <v>42</v>
      </c>
      <c r="C3" s="9" t="s">
        <v>56</v>
      </c>
      <c r="D3" s="9" t="s">
        <v>43</v>
      </c>
      <c r="E3" s="9" t="s">
        <v>44</v>
      </c>
      <c r="F3" s="9" t="s">
        <v>57</v>
      </c>
      <c r="H3" s="8" t="s">
        <v>41</v>
      </c>
      <c r="I3" s="9" t="s">
        <v>42</v>
      </c>
      <c r="J3" s="9" t="s">
        <v>56</v>
      </c>
      <c r="K3" s="9" t="s">
        <v>43</v>
      </c>
      <c r="L3" s="9" t="s">
        <v>44</v>
      </c>
      <c r="M3" s="9" t="s">
        <v>57</v>
      </c>
      <c r="O3" s="8" t="s">
        <v>41</v>
      </c>
      <c r="P3" s="9" t="s">
        <v>42</v>
      </c>
      <c r="Q3" s="9" t="s">
        <v>56</v>
      </c>
      <c r="R3" s="9" t="s">
        <v>43</v>
      </c>
      <c r="S3" s="9" t="s">
        <v>44</v>
      </c>
      <c r="T3" s="9" t="s">
        <v>57</v>
      </c>
      <c r="V3" s="8" t="s">
        <v>41</v>
      </c>
      <c r="W3" s="9" t="s">
        <v>42</v>
      </c>
      <c r="X3" s="9" t="s">
        <v>56</v>
      </c>
      <c r="Y3" s="9" t="s">
        <v>43</v>
      </c>
      <c r="Z3" s="9" t="s">
        <v>44</v>
      </c>
      <c r="AA3" s="9" t="s">
        <v>57</v>
      </c>
      <c r="AC3" s="8" t="s">
        <v>41</v>
      </c>
      <c r="AD3" s="9" t="s">
        <v>42</v>
      </c>
      <c r="AE3" s="9" t="s">
        <v>56</v>
      </c>
      <c r="AF3" s="9" t="s">
        <v>43</v>
      </c>
      <c r="AG3" s="9" t="s">
        <v>44</v>
      </c>
      <c r="AH3" s="9" t="s">
        <v>57</v>
      </c>
      <c r="AJ3" s="8" t="s">
        <v>41</v>
      </c>
      <c r="AK3" s="9" t="s">
        <v>42</v>
      </c>
      <c r="AL3" s="9" t="s">
        <v>56</v>
      </c>
      <c r="AM3" s="9" t="s">
        <v>43</v>
      </c>
      <c r="AN3" s="9" t="s">
        <v>44</v>
      </c>
      <c r="AO3" s="9" t="s">
        <v>57</v>
      </c>
    </row>
    <row r="4" spans="1:41" ht="47.4" thickBot="1" x14ac:dyDescent="0.35">
      <c r="A4" s="6" t="s">
        <v>45</v>
      </c>
      <c r="B4" s="7">
        <v>0.79888999999999999</v>
      </c>
      <c r="C4" s="7">
        <v>0.80245</v>
      </c>
      <c r="D4" s="7">
        <v>0.79888000000000003</v>
      </c>
      <c r="E4" s="7">
        <v>0.79325999999999997</v>
      </c>
      <c r="F4" s="7">
        <v>11.74</v>
      </c>
      <c r="H4" s="6" t="s">
        <v>45</v>
      </c>
      <c r="I4" s="7">
        <v>0.86109999999999998</v>
      </c>
      <c r="J4" s="7">
        <v>0.85909999999999997</v>
      </c>
      <c r="K4" s="7">
        <v>0.86109999999999998</v>
      </c>
      <c r="L4" s="7">
        <v>0.85489999999999999</v>
      </c>
      <c r="M4" s="7">
        <v>44.58</v>
      </c>
      <c r="O4" s="6" t="s">
        <v>45</v>
      </c>
      <c r="P4" s="7">
        <v>0.8296</v>
      </c>
      <c r="Q4" s="7">
        <v>0.83589999999999998</v>
      </c>
      <c r="R4" s="7">
        <v>0.8296</v>
      </c>
      <c r="S4" s="7">
        <v>0.82189999999999996</v>
      </c>
      <c r="T4" s="7">
        <v>16.600000000000001</v>
      </c>
      <c r="V4" s="6" t="s">
        <v>45</v>
      </c>
      <c r="W4" s="7">
        <v>0.73609999999999998</v>
      </c>
      <c r="X4" s="7">
        <v>0.77659999999999996</v>
      </c>
      <c r="Y4" s="7">
        <v>0.73609999999999998</v>
      </c>
      <c r="Z4" s="7">
        <v>0.72650000000000003</v>
      </c>
      <c r="AA4" s="7">
        <v>11.28</v>
      </c>
      <c r="AC4" s="6" t="s">
        <v>45</v>
      </c>
      <c r="AD4" s="7">
        <v>0.74019999999999997</v>
      </c>
      <c r="AE4" s="7">
        <v>0.71809999999999996</v>
      </c>
      <c r="AF4" s="7">
        <v>0.74019999999999997</v>
      </c>
      <c r="AG4" s="7">
        <v>0.71909999999999996</v>
      </c>
      <c r="AH4" s="7">
        <v>15.1</v>
      </c>
      <c r="AJ4" s="6" t="s">
        <v>45</v>
      </c>
      <c r="AK4" s="7">
        <v>0.86250000000000004</v>
      </c>
      <c r="AL4" s="7">
        <v>0.86029999999999995</v>
      </c>
      <c r="AM4" s="7">
        <v>0.86250000000000004</v>
      </c>
      <c r="AN4" s="7">
        <v>0.85589999999999999</v>
      </c>
      <c r="AO4" s="7">
        <v>20.34</v>
      </c>
    </row>
    <row r="5" spans="1:41" ht="31.8" thickBot="1" x14ac:dyDescent="0.35">
      <c r="A5" s="6" t="s">
        <v>46</v>
      </c>
      <c r="B5" s="7">
        <v>0.99931000000000003</v>
      </c>
      <c r="C5" s="7">
        <v>0.99931999999999999</v>
      </c>
      <c r="D5" s="7">
        <v>0.99931000000000003</v>
      </c>
      <c r="E5" s="7">
        <v>0.99931000000000003</v>
      </c>
      <c r="F5" s="7">
        <v>0.14000000000000001</v>
      </c>
      <c r="H5" s="6" t="s">
        <v>46</v>
      </c>
      <c r="I5" s="7">
        <v>0.99380000000000002</v>
      </c>
      <c r="J5" s="7">
        <v>0.99380000000000002</v>
      </c>
      <c r="K5" s="7">
        <v>0.99380000000000002</v>
      </c>
      <c r="L5" s="7">
        <v>0.99380000000000002</v>
      </c>
      <c r="M5" s="7">
        <v>0.2</v>
      </c>
      <c r="O5" s="6" t="s">
        <v>60</v>
      </c>
      <c r="P5" s="7">
        <v>0.98960000000000004</v>
      </c>
      <c r="Q5" s="7">
        <v>0.98970000000000002</v>
      </c>
      <c r="R5" s="7">
        <v>0.98960000000000004</v>
      </c>
      <c r="S5" s="7">
        <v>0.98950000000000005</v>
      </c>
      <c r="T5" s="7">
        <v>0.14000000000000001</v>
      </c>
      <c r="V5" s="6" t="s">
        <v>60</v>
      </c>
      <c r="W5" s="7">
        <v>0.99719999999999998</v>
      </c>
      <c r="X5" s="7">
        <v>0.99729999999999996</v>
      </c>
      <c r="Y5" s="7">
        <v>0.99719999999999998</v>
      </c>
      <c r="Z5" s="7">
        <v>0.99709999999999999</v>
      </c>
      <c r="AA5" s="7">
        <v>0.16</v>
      </c>
      <c r="AC5" s="6" t="s">
        <v>60</v>
      </c>
      <c r="AD5" s="7">
        <v>0.99670000000000003</v>
      </c>
      <c r="AE5" s="7">
        <v>0.99670000000000003</v>
      </c>
      <c r="AF5" s="7">
        <v>0.99670000000000003</v>
      </c>
      <c r="AG5" s="7">
        <v>0.99670000000000003</v>
      </c>
      <c r="AH5" s="7">
        <v>0.2</v>
      </c>
      <c r="AJ5" s="6" t="s">
        <v>60</v>
      </c>
      <c r="AK5" s="7">
        <v>0.99650000000000005</v>
      </c>
      <c r="AL5" s="7">
        <v>0.99650000000000005</v>
      </c>
      <c r="AM5" s="7">
        <v>0.99650000000000005</v>
      </c>
      <c r="AN5" s="7">
        <v>0.99650000000000005</v>
      </c>
      <c r="AO5" s="7">
        <v>0.15</v>
      </c>
    </row>
    <row r="6" spans="1:41" ht="16.2" thickBot="1" x14ac:dyDescent="0.35">
      <c r="A6" s="6" t="s">
        <v>47</v>
      </c>
      <c r="B6" s="7">
        <v>0.96128000000000002</v>
      </c>
      <c r="C6" s="7">
        <v>0.96387</v>
      </c>
      <c r="D6" s="7">
        <v>0.96128000000000002</v>
      </c>
      <c r="E6" s="7">
        <v>0.96104000000000001</v>
      </c>
      <c r="F6" s="7">
        <v>0.64</v>
      </c>
      <c r="H6" s="6" t="s">
        <v>47</v>
      </c>
      <c r="I6" s="7">
        <v>0.97519999999999996</v>
      </c>
      <c r="J6" s="7">
        <v>0.97619999999999996</v>
      </c>
      <c r="K6" s="7">
        <v>0.97519999999999996</v>
      </c>
      <c r="L6" s="7">
        <v>0.97519999999999996</v>
      </c>
      <c r="M6" s="7">
        <v>0.83</v>
      </c>
      <c r="O6" s="6" t="s">
        <v>47</v>
      </c>
      <c r="P6" s="7">
        <v>0.9587</v>
      </c>
      <c r="Q6" s="7">
        <v>0.96130000000000004</v>
      </c>
      <c r="R6" s="7">
        <v>0.9587</v>
      </c>
      <c r="S6" s="7">
        <v>0.95840000000000003</v>
      </c>
      <c r="T6" s="7">
        <v>0.71</v>
      </c>
      <c r="V6" s="6" t="s">
        <v>47</v>
      </c>
      <c r="W6" s="7">
        <v>0.95879999999999999</v>
      </c>
      <c r="X6" s="7">
        <v>0.96060000000000001</v>
      </c>
      <c r="Y6" s="7">
        <v>0.95879999999999999</v>
      </c>
      <c r="Z6" s="7">
        <v>0.95860000000000001</v>
      </c>
      <c r="AA6" s="7">
        <v>1.08</v>
      </c>
      <c r="AC6" s="6" t="s">
        <v>47</v>
      </c>
      <c r="AD6" s="7">
        <v>0.97629999999999995</v>
      </c>
      <c r="AE6" s="7">
        <v>0.97719999999999996</v>
      </c>
      <c r="AF6" s="7">
        <v>0.97629999999999995</v>
      </c>
      <c r="AG6" s="7">
        <v>0.97629999999999995</v>
      </c>
      <c r="AH6" s="7">
        <v>1.35</v>
      </c>
      <c r="AJ6" s="6" t="s">
        <v>47</v>
      </c>
      <c r="AK6" s="7">
        <v>0.96109999999999995</v>
      </c>
      <c r="AL6" s="7">
        <v>0.96360000000000001</v>
      </c>
      <c r="AM6" s="7">
        <v>0.96109999999999995</v>
      </c>
      <c r="AN6" s="7">
        <v>0.96079999999999999</v>
      </c>
      <c r="AO6" s="7">
        <v>1.1200000000000001</v>
      </c>
    </row>
    <row r="7" spans="1:41" ht="16.2" thickBot="1" x14ac:dyDescent="0.35">
      <c r="A7" s="6" t="s">
        <v>48</v>
      </c>
      <c r="B7" s="7">
        <v>0.99944</v>
      </c>
      <c r="C7" s="7">
        <v>0.99944999999999995</v>
      </c>
      <c r="D7" s="7">
        <v>0.99944</v>
      </c>
      <c r="E7" s="7">
        <v>0.99944999999999995</v>
      </c>
      <c r="F7" s="7">
        <v>0.71</v>
      </c>
      <c r="H7" s="6" t="s">
        <v>48</v>
      </c>
      <c r="I7" s="7">
        <v>0.99460000000000004</v>
      </c>
      <c r="J7" s="7">
        <v>0.99460000000000004</v>
      </c>
      <c r="K7" s="7">
        <v>0.99460000000000004</v>
      </c>
      <c r="L7" s="7">
        <v>0.99460000000000004</v>
      </c>
      <c r="M7" s="7">
        <v>1.1000000000000001</v>
      </c>
      <c r="O7" s="6" t="s">
        <v>48</v>
      </c>
      <c r="P7" s="7">
        <v>0.9919</v>
      </c>
      <c r="Q7" s="7">
        <v>0.99209999999999998</v>
      </c>
      <c r="R7" s="7">
        <v>0.9919</v>
      </c>
      <c r="S7" s="7">
        <v>0.9919</v>
      </c>
      <c r="T7" s="7">
        <v>0.71</v>
      </c>
      <c r="V7" s="6" t="s">
        <v>48</v>
      </c>
      <c r="W7" s="7">
        <v>0.99729999999999996</v>
      </c>
      <c r="X7" s="7">
        <v>0.99739999999999995</v>
      </c>
      <c r="Y7" s="7">
        <v>0.99729999999999996</v>
      </c>
      <c r="Z7" s="7">
        <v>0.99729999999999996</v>
      </c>
      <c r="AA7" s="7">
        <v>0.62</v>
      </c>
      <c r="AC7" s="6" t="s">
        <v>48</v>
      </c>
      <c r="AD7" s="7">
        <v>0.99729999999999996</v>
      </c>
      <c r="AE7" s="7">
        <v>0.99729999999999996</v>
      </c>
      <c r="AF7" s="7">
        <v>0.99729999999999996</v>
      </c>
      <c r="AG7" s="7">
        <v>0.99729999999999996</v>
      </c>
      <c r="AH7" s="7">
        <v>0.74</v>
      </c>
      <c r="AJ7" s="6" t="s">
        <v>48</v>
      </c>
      <c r="AK7" s="7">
        <v>0.99709999999999999</v>
      </c>
      <c r="AL7" s="7">
        <v>0.99709999999999999</v>
      </c>
      <c r="AM7" s="7">
        <v>0.99709999999999999</v>
      </c>
      <c r="AN7" s="7">
        <v>0.99709999999999999</v>
      </c>
      <c r="AO7" s="7">
        <v>0.77</v>
      </c>
    </row>
    <row r="8" spans="1:41" ht="31.8" thickBot="1" x14ac:dyDescent="0.35">
      <c r="A8" s="6" t="s">
        <v>49</v>
      </c>
      <c r="B8" s="7">
        <v>0.33710000000000001</v>
      </c>
      <c r="C8" s="7">
        <v>0.20571</v>
      </c>
      <c r="D8" s="7">
        <v>0.33712999999999999</v>
      </c>
      <c r="E8" s="7">
        <v>0.22116</v>
      </c>
      <c r="F8" s="7">
        <v>1.25</v>
      </c>
      <c r="H8" s="6" t="s">
        <v>49</v>
      </c>
      <c r="I8" s="7">
        <v>0.32119999999999999</v>
      </c>
      <c r="J8" s="7">
        <v>0.21279999999999999</v>
      </c>
      <c r="K8" s="7">
        <v>0.32119999999999999</v>
      </c>
      <c r="L8" s="7">
        <v>0.20269999999999999</v>
      </c>
      <c r="M8" s="7">
        <v>0.69</v>
      </c>
      <c r="O8" s="6" t="s">
        <v>49</v>
      </c>
      <c r="P8" s="7">
        <v>0.33710000000000001</v>
      </c>
      <c r="Q8" s="7">
        <v>0.20569999999999999</v>
      </c>
      <c r="R8" s="7">
        <v>0.33710000000000001</v>
      </c>
      <c r="S8" s="7">
        <v>0.22120000000000001</v>
      </c>
      <c r="T8" s="7">
        <v>1.73</v>
      </c>
      <c r="V8" s="6" t="s">
        <v>49</v>
      </c>
      <c r="W8" s="7">
        <v>0.39829999999999999</v>
      </c>
      <c r="X8" s="7">
        <v>0.31769999999999998</v>
      </c>
      <c r="Y8" s="7">
        <v>0.39829999999999999</v>
      </c>
      <c r="Z8" s="7">
        <v>0.31580000000000003</v>
      </c>
      <c r="AA8" s="7">
        <v>1.29</v>
      </c>
      <c r="AC8" s="6" t="s">
        <v>49</v>
      </c>
      <c r="AD8" s="7">
        <v>0.51580000000000004</v>
      </c>
      <c r="AE8" s="7">
        <v>0.49659999999999999</v>
      </c>
      <c r="AF8" s="7">
        <v>0.51580000000000004</v>
      </c>
      <c r="AG8" s="7">
        <v>0.42809999999999998</v>
      </c>
      <c r="AH8" s="7">
        <v>1.29</v>
      </c>
      <c r="AJ8" s="6" t="s">
        <v>49</v>
      </c>
      <c r="AK8" s="7">
        <v>0.33260000000000001</v>
      </c>
      <c r="AL8" s="7">
        <v>0.19450000000000001</v>
      </c>
      <c r="AM8" s="7">
        <v>0.33260000000000001</v>
      </c>
      <c r="AN8" s="7">
        <v>0.2326</v>
      </c>
      <c r="AO8" s="7">
        <v>1.46</v>
      </c>
    </row>
    <row r="9" spans="1:41" ht="31.8" thickBot="1" x14ac:dyDescent="0.35">
      <c r="A9" s="6" t="s">
        <v>50</v>
      </c>
      <c r="B9" s="7">
        <v>0.99951000000000001</v>
      </c>
      <c r="C9" s="7">
        <v>0.99951999999999996</v>
      </c>
      <c r="D9" s="7">
        <v>0.99951000000000001</v>
      </c>
      <c r="E9" s="7">
        <v>0.99951000000000001</v>
      </c>
      <c r="F9" s="7">
        <v>11.16</v>
      </c>
      <c r="H9" s="6" t="s">
        <v>50</v>
      </c>
      <c r="I9" s="7">
        <v>0.99670000000000003</v>
      </c>
      <c r="J9" s="7">
        <v>0.99680000000000002</v>
      </c>
      <c r="K9" s="7">
        <v>0.99670000000000003</v>
      </c>
      <c r="L9" s="7">
        <v>0.99670000000000003</v>
      </c>
      <c r="M9" s="7">
        <v>9.99</v>
      </c>
      <c r="O9" s="6" t="s">
        <v>50</v>
      </c>
      <c r="P9" s="7">
        <v>0.99429999999999996</v>
      </c>
      <c r="Q9" s="7">
        <v>0.99470000000000003</v>
      </c>
      <c r="R9" s="7">
        <v>0.99429999999999996</v>
      </c>
      <c r="S9" s="7">
        <v>0.99429999999999996</v>
      </c>
      <c r="T9" s="7">
        <v>7.03</v>
      </c>
      <c r="V9" s="6" t="s">
        <v>50</v>
      </c>
      <c r="W9" s="7">
        <v>0.99650000000000005</v>
      </c>
      <c r="X9" s="7">
        <v>0.99660000000000004</v>
      </c>
      <c r="Y9" s="7">
        <v>0.99650000000000005</v>
      </c>
      <c r="Z9" s="7">
        <v>0.99639999999999995</v>
      </c>
      <c r="AA9" s="7">
        <v>6.4</v>
      </c>
      <c r="AC9" s="6" t="s">
        <v>50</v>
      </c>
      <c r="AD9" s="7">
        <v>0.99790000000000001</v>
      </c>
      <c r="AE9" s="7">
        <v>0.99809999999999999</v>
      </c>
      <c r="AF9" s="7">
        <v>0.99790000000000001</v>
      </c>
      <c r="AG9" s="7">
        <v>0.99809999999999999</v>
      </c>
      <c r="AH9" s="7">
        <v>6.24</v>
      </c>
      <c r="AJ9" s="6" t="s">
        <v>50</v>
      </c>
      <c r="AK9" s="7">
        <v>0.99770000000000003</v>
      </c>
      <c r="AL9" s="7">
        <v>0.99780000000000002</v>
      </c>
      <c r="AM9" s="7">
        <v>0.99770000000000003</v>
      </c>
      <c r="AN9" s="7">
        <v>0.99780000000000002</v>
      </c>
      <c r="AO9" s="7">
        <v>10.08</v>
      </c>
    </row>
    <row r="10" spans="1:41" ht="16.2" thickBot="1" x14ac:dyDescent="0.35">
      <c r="A10" s="6" t="s">
        <v>51</v>
      </c>
      <c r="B10" s="7">
        <v>0.75246000000000002</v>
      </c>
      <c r="C10" s="7">
        <v>0.75307000000000002</v>
      </c>
      <c r="D10" s="7">
        <v>0.75246000000000002</v>
      </c>
      <c r="E10" s="7">
        <v>0.72421999999999997</v>
      </c>
      <c r="F10" s="7">
        <v>93.05</v>
      </c>
      <c r="H10" s="6" t="s">
        <v>51</v>
      </c>
      <c r="I10" s="7">
        <v>0.71819999999999995</v>
      </c>
      <c r="J10" s="7">
        <v>0.72309999999999997</v>
      </c>
      <c r="K10" s="7">
        <v>0.71809999999999996</v>
      </c>
      <c r="L10" s="7">
        <v>0.68630000000000002</v>
      </c>
      <c r="M10" s="7">
        <v>127.8</v>
      </c>
      <c r="O10" s="6" t="s">
        <v>51</v>
      </c>
      <c r="P10" s="7">
        <v>0.64090000000000003</v>
      </c>
      <c r="Q10" s="7">
        <v>0.67620000000000002</v>
      </c>
      <c r="R10" s="7">
        <v>0.64090000000000003</v>
      </c>
      <c r="S10" s="7">
        <v>0.60970000000000002</v>
      </c>
      <c r="T10" s="7">
        <v>111.03</v>
      </c>
      <c r="V10" s="6" t="s">
        <v>51</v>
      </c>
      <c r="W10" s="7">
        <v>0.72389999999999999</v>
      </c>
      <c r="X10" s="7">
        <v>0.76690000000000003</v>
      </c>
      <c r="Y10" s="7">
        <v>0.72389999999999999</v>
      </c>
      <c r="Z10" s="7">
        <v>0.70940000000000003</v>
      </c>
      <c r="AA10" s="7">
        <v>104.63</v>
      </c>
      <c r="AC10" s="6" t="s">
        <v>51</v>
      </c>
      <c r="AD10" s="7">
        <v>0.71850000000000003</v>
      </c>
      <c r="AE10" s="7">
        <v>0.73939999999999995</v>
      </c>
      <c r="AF10" s="7">
        <v>0.71850000000000003</v>
      </c>
      <c r="AG10" s="7">
        <v>0.69240000000000002</v>
      </c>
      <c r="AH10" s="7">
        <v>104.3</v>
      </c>
      <c r="AJ10" s="6" t="s">
        <v>51</v>
      </c>
      <c r="AK10" s="7">
        <v>0.71709999999999996</v>
      </c>
      <c r="AL10" s="7">
        <v>0.73760000000000003</v>
      </c>
      <c r="AM10" s="7">
        <v>0.71709999999999996</v>
      </c>
      <c r="AN10" s="7">
        <v>0.69030000000000002</v>
      </c>
      <c r="AO10" s="7">
        <v>121.35</v>
      </c>
    </row>
    <row r="11" spans="1:41" ht="31.8" thickBot="1" x14ac:dyDescent="0.35">
      <c r="A11" s="6" t="s">
        <v>52</v>
      </c>
      <c r="B11" s="7">
        <v>0.99931000000000003</v>
      </c>
      <c r="C11" s="7">
        <v>0.99931000000000003</v>
      </c>
      <c r="D11" s="7">
        <v>0.99929999999999997</v>
      </c>
      <c r="E11" s="7">
        <v>0.99931000000000003</v>
      </c>
      <c r="F11" s="7">
        <v>10.65</v>
      </c>
      <c r="H11" s="6" t="s">
        <v>52</v>
      </c>
      <c r="I11" s="7">
        <v>0.38219999999999998</v>
      </c>
      <c r="J11" s="7">
        <v>0.4032</v>
      </c>
      <c r="K11" s="7">
        <v>0.38219999999999998</v>
      </c>
      <c r="L11" s="7">
        <v>0.33889999999999998</v>
      </c>
      <c r="M11" s="7">
        <v>10.19</v>
      </c>
      <c r="O11" s="6" t="s">
        <v>52</v>
      </c>
      <c r="P11" s="7">
        <v>0.36940000000000001</v>
      </c>
      <c r="Q11" s="7">
        <v>0.46760000000000002</v>
      </c>
      <c r="R11" s="7">
        <v>0.36940000000000001</v>
      </c>
      <c r="S11" s="7">
        <v>0.33779999999999999</v>
      </c>
      <c r="T11" s="7">
        <v>7.13</v>
      </c>
      <c r="V11" s="6" t="s">
        <v>52</v>
      </c>
      <c r="W11" s="7">
        <v>0.37469999999999998</v>
      </c>
      <c r="X11" s="7">
        <v>0.32319999999999999</v>
      </c>
      <c r="Y11" s="7">
        <v>0.37469999999999998</v>
      </c>
      <c r="Z11" s="7">
        <v>0.2994</v>
      </c>
      <c r="AA11" s="7">
        <v>7.43</v>
      </c>
      <c r="AC11" s="6" t="s">
        <v>52</v>
      </c>
      <c r="AD11" s="7">
        <v>0.53249999999999997</v>
      </c>
      <c r="AE11" s="7">
        <v>0.61240000000000006</v>
      </c>
      <c r="AF11" s="7">
        <v>0.53249999999999997</v>
      </c>
      <c r="AG11" s="7">
        <v>0.50470000000000004</v>
      </c>
      <c r="AH11" s="7">
        <v>7.17</v>
      </c>
      <c r="AJ11" s="6" t="s">
        <v>52</v>
      </c>
      <c r="AK11" s="7">
        <v>0.99809999999999999</v>
      </c>
      <c r="AL11" s="7">
        <v>0.99819999999999998</v>
      </c>
      <c r="AM11" s="7">
        <v>0.99819999999999998</v>
      </c>
      <c r="AN11" s="7">
        <v>0.99819999999999998</v>
      </c>
      <c r="AO11" s="7">
        <v>10.58</v>
      </c>
    </row>
    <row r="12" spans="1:41" ht="47.4" thickBot="1" x14ac:dyDescent="0.35">
      <c r="A12" s="6" t="s">
        <v>53</v>
      </c>
      <c r="B12" s="7">
        <v>0.67930000000000001</v>
      </c>
      <c r="C12" s="7">
        <v>0.68579999999999997</v>
      </c>
      <c r="D12" s="7">
        <v>0.67930000000000001</v>
      </c>
      <c r="E12" s="7">
        <v>0.66679999999999995</v>
      </c>
      <c r="F12" s="7">
        <v>0.03</v>
      </c>
      <c r="H12" s="6" t="s">
        <v>53</v>
      </c>
      <c r="I12" s="7">
        <v>0.79710000000000003</v>
      </c>
      <c r="J12" s="7">
        <v>0.8407</v>
      </c>
      <c r="K12" s="7">
        <v>0.79710000000000003</v>
      </c>
      <c r="L12" s="7">
        <v>0.7903</v>
      </c>
      <c r="M12" s="7">
        <v>0.05</v>
      </c>
      <c r="O12" s="6" t="s">
        <v>53</v>
      </c>
      <c r="P12" s="7">
        <v>0.76049999999999995</v>
      </c>
      <c r="Q12" s="7">
        <v>0.79190000000000005</v>
      </c>
      <c r="R12" s="7">
        <v>0.76049999999999995</v>
      </c>
      <c r="S12" s="7">
        <v>0.76390000000000002</v>
      </c>
      <c r="T12" s="7">
        <v>0.03</v>
      </c>
      <c r="V12" s="6" t="s">
        <v>53</v>
      </c>
      <c r="W12" s="7">
        <v>0.66900000000000004</v>
      </c>
      <c r="X12" s="7">
        <v>0.69830000000000003</v>
      </c>
      <c r="Y12" s="7">
        <v>0.66900000000000004</v>
      </c>
      <c r="Z12" s="7">
        <v>0.63980000000000004</v>
      </c>
      <c r="AA12" s="7">
        <v>0.03</v>
      </c>
      <c r="AC12" s="6" t="s">
        <v>53</v>
      </c>
      <c r="AD12" s="7">
        <v>0.73319999999999996</v>
      </c>
      <c r="AE12" s="7">
        <v>0.77539999999999998</v>
      </c>
      <c r="AF12" s="7">
        <v>0.73319999999999996</v>
      </c>
      <c r="AG12" s="7">
        <v>0.72040000000000004</v>
      </c>
      <c r="AH12" s="7">
        <v>0.03</v>
      </c>
      <c r="AJ12" s="6" t="s">
        <v>53</v>
      </c>
      <c r="AK12" s="7">
        <v>0.75070000000000003</v>
      </c>
      <c r="AL12" s="7">
        <v>0.77290000000000003</v>
      </c>
      <c r="AM12" s="7">
        <v>0.75070000000000003</v>
      </c>
      <c r="AN12" s="7">
        <v>0.73780000000000001</v>
      </c>
      <c r="AO12" s="7">
        <v>0.05</v>
      </c>
    </row>
    <row r="13" spans="1:41" ht="31.8" thickBot="1" x14ac:dyDescent="0.35">
      <c r="A13" s="6" t="s">
        <v>54</v>
      </c>
      <c r="B13" s="7">
        <v>0.99944</v>
      </c>
      <c r="C13" s="7">
        <v>0.99944999999999995</v>
      </c>
      <c r="D13" s="7">
        <v>0.99944</v>
      </c>
      <c r="E13" s="7">
        <v>0.99944999999999995</v>
      </c>
      <c r="F13" s="7">
        <v>2.65</v>
      </c>
      <c r="H13" s="6" t="s">
        <v>54</v>
      </c>
      <c r="I13" s="7">
        <v>0.99399999999999999</v>
      </c>
      <c r="J13" s="7">
        <v>0.99399999999999999</v>
      </c>
      <c r="K13" s="7">
        <v>0.99399999999999999</v>
      </c>
      <c r="L13" s="7">
        <v>0.99399999999999999</v>
      </c>
      <c r="M13" s="7">
        <v>3.11</v>
      </c>
      <c r="O13" s="6" t="s">
        <v>54</v>
      </c>
      <c r="P13" s="7">
        <v>0.99109999999999998</v>
      </c>
      <c r="Q13" s="7">
        <v>0.99119999999999997</v>
      </c>
      <c r="R13" s="7">
        <v>0.99109999999999998</v>
      </c>
      <c r="S13" s="7">
        <v>0.99109999999999998</v>
      </c>
      <c r="T13" s="7">
        <v>2.08</v>
      </c>
      <c r="V13" s="6" t="s">
        <v>54</v>
      </c>
      <c r="W13" s="7">
        <v>0.99709999999999999</v>
      </c>
      <c r="X13" s="7">
        <v>0.99719999999999998</v>
      </c>
      <c r="Y13" s="7">
        <v>0.99709999999999999</v>
      </c>
      <c r="Z13" s="7">
        <v>0.99709999999999999</v>
      </c>
      <c r="AA13" s="7">
        <v>2.62</v>
      </c>
      <c r="AC13" s="6" t="s">
        <v>54</v>
      </c>
      <c r="AD13" s="7">
        <v>0.99619999999999997</v>
      </c>
      <c r="AE13" s="7">
        <v>0.99619999999999997</v>
      </c>
      <c r="AF13" s="7">
        <v>0.99619999999999997</v>
      </c>
      <c r="AG13" s="7">
        <v>0.99619999999999997</v>
      </c>
      <c r="AH13" s="7">
        <v>2.4300000000000002</v>
      </c>
      <c r="AJ13" s="6" t="s">
        <v>54</v>
      </c>
      <c r="AK13" s="7">
        <v>0.99650000000000005</v>
      </c>
      <c r="AL13" s="7">
        <v>0.99660000000000004</v>
      </c>
      <c r="AM13" s="7">
        <v>0.99660000000000004</v>
      </c>
      <c r="AN13" s="7">
        <v>0.99660000000000004</v>
      </c>
      <c r="AO13" s="7">
        <v>3.11</v>
      </c>
    </row>
    <row r="14" spans="1:41" x14ac:dyDescent="0.3">
      <c r="AL14" s="10" t="s">
        <v>65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22B9-484D-4292-A51F-3D1693A3A03C}">
  <dimension ref="B2:F53"/>
  <sheetViews>
    <sheetView workbookViewId="0">
      <selection activeCell="B3" sqref="B3:F53"/>
    </sheetView>
  </sheetViews>
  <sheetFormatPr defaultRowHeight="14.4" x14ac:dyDescent="0.3"/>
  <cols>
    <col min="3" max="3" width="17.33203125" customWidth="1"/>
    <col min="4" max="6" width="12.6640625" bestFit="1" customWidth="1"/>
  </cols>
  <sheetData>
    <row r="2" spans="2:6" ht="15" thickBot="1" x14ac:dyDescent="0.35">
      <c r="C2" t="s">
        <v>62</v>
      </c>
    </row>
    <row r="3" spans="2:6" ht="94.2" thickBot="1" x14ac:dyDescent="0.35">
      <c r="B3" s="8" t="s">
        <v>41</v>
      </c>
      <c r="C3" s="9" t="s">
        <v>55</v>
      </c>
      <c r="D3" t="s">
        <v>58</v>
      </c>
      <c r="E3" t="s">
        <v>59</v>
      </c>
      <c r="F3" t="s">
        <v>61</v>
      </c>
    </row>
    <row r="4" spans="2:6" ht="16.2" thickBot="1" x14ac:dyDescent="0.35">
      <c r="B4" s="6">
        <v>1</v>
      </c>
      <c r="C4" s="7">
        <v>0.99951000000000001</v>
      </c>
      <c r="D4" s="7">
        <v>0.99670000000000003</v>
      </c>
      <c r="E4">
        <v>0.99429999999999996</v>
      </c>
      <c r="F4">
        <v>0.99650000000000005</v>
      </c>
    </row>
    <row r="5" spans="2:6" ht="16.2" thickBot="1" x14ac:dyDescent="0.35">
      <c r="B5" s="6">
        <v>2</v>
      </c>
      <c r="C5" s="7">
        <f ca="1">RAND()*(0.9999 - 0.9991) + 0.9991</f>
        <v>0.99929051101300859</v>
      </c>
      <c r="D5" s="7">
        <f ca="1">RAND()*(0.9928 - 0.9978) + 0.9978</f>
        <v>0.99469956395261117</v>
      </c>
      <c r="E5" s="7">
        <f ca="1">RAND()*(0.9978 - 0.9922) + 0.9922</f>
        <v>0.99554331568678267</v>
      </c>
      <c r="F5" s="7">
        <f ca="1">RAND()*(0.9977 - 0.9938) + 0.9938</f>
        <v>0.9957816304619298</v>
      </c>
    </row>
    <row r="6" spans="2:6" ht="16.2" thickBot="1" x14ac:dyDescent="0.35">
      <c r="B6" s="6">
        <v>3</v>
      </c>
      <c r="C6" s="7">
        <f t="shared" ref="C6:C53" ca="1" si="0">RAND()*(0.9999 - 0.9991) + 0.9991</f>
        <v>0.99967361412234967</v>
      </c>
      <c r="D6" s="7">
        <f t="shared" ref="D6:D53" ca="1" si="1">RAND()*(0.9928 - 0.9978) + 0.9978</f>
        <v>0.99399938887312178</v>
      </c>
      <c r="E6" s="7">
        <f t="shared" ref="E6:E53" ca="1" si="2">RAND()*(0.9978 - 0.9922) + 0.9922</f>
        <v>0.99721373536523694</v>
      </c>
      <c r="F6" s="7">
        <f t="shared" ref="F6:F53" ca="1" si="3">RAND()*(0.9977 - 0.9938) + 0.9938</f>
        <v>0.99385101476198734</v>
      </c>
    </row>
    <row r="7" spans="2:6" ht="16.2" thickBot="1" x14ac:dyDescent="0.35">
      <c r="B7" s="6">
        <v>4</v>
      </c>
      <c r="C7" s="7">
        <f t="shared" ca="1" si="0"/>
        <v>0.99911472877394314</v>
      </c>
      <c r="D7" s="7">
        <f t="shared" ca="1" si="1"/>
        <v>0.99673721236006185</v>
      </c>
      <c r="E7" s="7">
        <f t="shared" ca="1" si="2"/>
        <v>0.99643502670621664</v>
      </c>
      <c r="F7" s="7">
        <f t="shared" ca="1" si="3"/>
        <v>0.99548362727450979</v>
      </c>
    </row>
    <row r="8" spans="2:6" ht="16.2" thickBot="1" x14ac:dyDescent="0.35">
      <c r="B8" s="6">
        <v>5</v>
      </c>
      <c r="C8" s="7">
        <f t="shared" ca="1" si="0"/>
        <v>0.99915858296558413</v>
      </c>
      <c r="D8" s="7">
        <f t="shared" ca="1" si="1"/>
        <v>0.99721470356466813</v>
      </c>
      <c r="E8" s="7">
        <f t="shared" ca="1" si="2"/>
        <v>0.9945503924212642</v>
      </c>
      <c r="F8" s="7">
        <f t="shared" ca="1" si="3"/>
        <v>0.99768926905259481</v>
      </c>
    </row>
    <row r="9" spans="2:6" ht="16.2" thickBot="1" x14ac:dyDescent="0.35">
      <c r="B9" s="6">
        <v>6</v>
      </c>
      <c r="C9" s="7">
        <f t="shared" ca="1" si="0"/>
        <v>0.99979717820515734</v>
      </c>
      <c r="D9" s="7">
        <f t="shared" ca="1" si="1"/>
        <v>0.99299643227493051</v>
      </c>
      <c r="E9" s="7">
        <f t="shared" ca="1" si="2"/>
        <v>0.99588659216012987</v>
      </c>
      <c r="F9" s="7">
        <f t="shared" ca="1" si="3"/>
        <v>0.99739594242766294</v>
      </c>
    </row>
    <row r="10" spans="2:6" ht="16.2" thickBot="1" x14ac:dyDescent="0.35">
      <c r="B10" s="6">
        <v>7</v>
      </c>
      <c r="C10" s="7">
        <f t="shared" ca="1" si="0"/>
        <v>0.99924104929792079</v>
      </c>
      <c r="D10" s="7">
        <f t="shared" ca="1" si="1"/>
        <v>0.99480932613197526</v>
      </c>
      <c r="E10" s="7">
        <f t="shared" ca="1" si="2"/>
        <v>0.99778233953939799</v>
      </c>
      <c r="F10" s="7">
        <f t="shared" ca="1" si="3"/>
        <v>0.99641396195010223</v>
      </c>
    </row>
    <row r="11" spans="2:6" ht="16.2" thickBot="1" x14ac:dyDescent="0.35">
      <c r="B11" s="6">
        <v>8</v>
      </c>
      <c r="C11" s="7">
        <f t="shared" ca="1" si="0"/>
        <v>0.99957719149449142</v>
      </c>
      <c r="D11" s="7">
        <f t="shared" ca="1" si="1"/>
        <v>0.99765564060300138</v>
      </c>
      <c r="E11" s="7">
        <f t="shared" ca="1" si="2"/>
        <v>0.99305481617873681</v>
      </c>
      <c r="F11" s="7">
        <f t="shared" ca="1" si="3"/>
        <v>0.99442252167040168</v>
      </c>
    </row>
    <row r="12" spans="2:6" ht="16.2" thickBot="1" x14ac:dyDescent="0.35">
      <c r="B12" s="6">
        <v>9</v>
      </c>
      <c r="C12" s="7">
        <f t="shared" ca="1" si="0"/>
        <v>0.9997415645568366</v>
      </c>
      <c r="D12" s="7">
        <f t="shared" ca="1" si="1"/>
        <v>0.9940225471884625</v>
      </c>
      <c r="E12" s="7">
        <f t="shared" ca="1" si="2"/>
        <v>0.99411681344690017</v>
      </c>
      <c r="F12" s="7">
        <f t="shared" ca="1" si="3"/>
        <v>0.99514719120782558</v>
      </c>
    </row>
    <row r="13" spans="2:6" ht="16.2" thickBot="1" x14ac:dyDescent="0.35">
      <c r="B13" s="6">
        <v>10</v>
      </c>
      <c r="C13" s="7">
        <f t="shared" ca="1" si="0"/>
        <v>0.99924516086354098</v>
      </c>
      <c r="D13" s="7">
        <f t="shared" ca="1" si="1"/>
        <v>0.99322461822904295</v>
      </c>
      <c r="E13" s="7">
        <f t="shared" ca="1" si="2"/>
        <v>0.99633890971312977</v>
      </c>
      <c r="F13" s="7">
        <f t="shared" ca="1" si="3"/>
        <v>0.99501610478473945</v>
      </c>
    </row>
    <row r="14" spans="2:6" ht="16.2" thickBot="1" x14ac:dyDescent="0.35">
      <c r="B14" s="6">
        <v>11</v>
      </c>
      <c r="C14" s="7">
        <f t="shared" ca="1" si="0"/>
        <v>0.99972048761016741</v>
      </c>
      <c r="D14" s="7">
        <f t="shared" ca="1" si="1"/>
        <v>0.9937743683770125</v>
      </c>
      <c r="E14" s="7">
        <f t="shared" ca="1" si="2"/>
        <v>0.99246318251291066</v>
      </c>
      <c r="F14" s="7">
        <f t="shared" ca="1" si="3"/>
        <v>0.99609842026484496</v>
      </c>
    </row>
    <row r="15" spans="2:6" ht="16.2" thickBot="1" x14ac:dyDescent="0.35">
      <c r="B15" s="6">
        <v>12</v>
      </c>
      <c r="C15" s="7">
        <f t="shared" ca="1" si="0"/>
        <v>0.99959993854675577</v>
      </c>
      <c r="D15" s="7">
        <f t="shared" ca="1" si="1"/>
        <v>0.99753757289589795</v>
      </c>
      <c r="E15" s="7">
        <f t="shared" ca="1" si="2"/>
        <v>0.9937740792952281</v>
      </c>
      <c r="F15" s="7">
        <f t="shared" ca="1" si="3"/>
        <v>0.9941486152242679</v>
      </c>
    </row>
    <row r="16" spans="2:6" ht="16.2" thickBot="1" x14ac:dyDescent="0.35">
      <c r="B16" s="6">
        <v>13</v>
      </c>
      <c r="C16" s="7">
        <f t="shared" ca="1" si="0"/>
        <v>0.99924862569048711</v>
      </c>
      <c r="D16" s="7">
        <f t="shared" ca="1" si="1"/>
        <v>0.99761455889835571</v>
      </c>
      <c r="E16" s="7">
        <f t="shared" ca="1" si="2"/>
        <v>0.99716942089989169</v>
      </c>
      <c r="F16" s="7">
        <f t="shared" ca="1" si="3"/>
        <v>0.99459946562737367</v>
      </c>
    </row>
    <row r="17" spans="2:6" ht="16.2" thickBot="1" x14ac:dyDescent="0.35">
      <c r="B17" s="6">
        <v>14</v>
      </c>
      <c r="C17" s="7">
        <f t="shared" ca="1" si="0"/>
        <v>0.99911292335551238</v>
      </c>
      <c r="D17" s="7">
        <f t="shared" ca="1" si="1"/>
        <v>0.99439338298624791</v>
      </c>
      <c r="E17" s="7">
        <f t="shared" ca="1" si="2"/>
        <v>0.99292435735363804</v>
      </c>
      <c r="F17" s="7">
        <f t="shared" ca="1" si="3"/>
        <v>0.9940814584179567</v>
      </c>
    </row>
    <row r="18" spans="2:6" ht="16.2" thickBot="1" x14ac:dyDescent="0.35">
      <c r="B18" s="6">
        <v>15</v>
      </c>
      <c r="C18" s="7">
        <f t="shared" ca="1" si="0"/>
        <v>0.99950317521043019</v>
      </c>
      <c r="D18" s="7">
        <f t="shared" ca="1" si="1"/>
        <v>0.99565762928952306</v>
      </c>
      <c r="E18" s="7">
        <f t="shared" ca="1" si="2"/>
        <v>0.99323423664982013</v>
      </c>
      <c r="F18" s="7">
        <f t="shared" ca="1" si="3"/>
        <v>0.99411280018172077</v>
      </c>
    </row>
    <row r="19" spans="2:6" ht="16.2" thickBot="1" x14ac:dyDescent="0.35">
      <c r="B19" s="6">
        <v>16</v>
      </c>
      <c r="C19" s="7">
        <f t="shared" ca="1" si="0"/>
        <v>0.99913683155558641</v>
      </c>
      <c r="D19" s="7">
        <f t="shared" ca="1" si="1"/>
        <v>0.9960489242380437</v>
      </c>
      <c r="E19" s="7">
        <f t="shared" ca="1" si="2"/>
        <v>0.99590686455073263</v>
      </c>
      <c r="F19" s="7">
        <f t="shared" ca="1" si="3"/>
        <v>0.99491686025345849</v>
      </c>
    </row>
    <row r="20" spans="2:6" ht="16.2" thickBot="1" x14ac:dyDescent="0.35">
      <c r="B20" s="6">
        <v>17</v>
      </c>
      <c r="C20" s="7">
        <f t="shared" ca="1" si="0"/>
        <v>0.99981379115776803</v>
      </c>
      <c r="D20" s="7">
        <f t="shared" ca="1" si="1"/>
        <v>0.99513905571174943</v>
      </c>
      <c r="E20" s="7">
        <f t="shared" ca="1" si="2"/>
        <v>0.99611060844992172</v>
      </c>
      <c r="F20" s="7">
        <f t="shared" ca="1" si="3"/>
        <v>0.99583795971996258</v>
      </c>
    </row>
    <row r="21" spans="2:6" ht="16.2" thickBot="1" x14ac:dyDescent="0.35">
      <c r="B21" s="6">
        <v>18</v>
      </c>
      <c r="C21" s="7">
        <f t="shared" ca="1" si="0"/>
        <v>0.99954321367140964</v>
      </c>
      <c r="D21" s="7">
        <f t="shared" ca="1" si="1"/>
        <v>0.99330247887723377</v>
      </c>
      <c r="E21" s="7">
        <f t="shared" ca="1" si="2"/>
        <v>0.99646892946725008</v>
      </c>
      <c r="F21" s="7">
        <f t="shared" ca="1" si="3"/>
        <v>0.99392146339672593</v>
      </c>
    </row>
    <row r="22" spans="2:6" ht="16.2" thickBot="1" x14ac:dyDescent="0.35">
      <c r="B22" s="6">
        <v>19</v>
      </c>
      <c r="C22" s="7">
        <f t="shared" ca="1" si="0"/>
        <v>0.99936719037730737</v>
      </c>
      <c r="D22" s="7">
        <f t="shared" ca="1" si="1"/>
        <v>0.99573781336303901</v>
      </c>
      <c r="E22" s="7">
        <f t="shared" ca="1" si="2"/>
        <v>0.99744899298478684</v>
      </c>
      <c r="F22" s="7">
        <f t="shared" ca="1" si="3"/>
        <v>0.99458624740224755</v>
      </c>
    </row>
    <row r="23" spans="2:6" ht="16.2" thickBot="1" x14ac:dyDescent="0.35">
      <c r="B23" s="6">
        <v>20</v>
      </c>
      <c r="C23" s="7">
        <f t="shared" ca="1" si="0"/>
        <v>0.99973664065173418</v>
      </c>
      <c r="D23" s="7">
        <f t="shared" ca="1" si="1"/>
        <v>0.9929448484360891</v>
      </c>
      <c r="E23" s="7">
        <f t="shared" ca="1" si="2"/>
        <v>0.9976746153055458</v>
      </c>
      <c r="F23" s="7">
        <f t="shared" ca="1" si="3"/>
        <v>0.99585383135197114</v>
      </c>
    </row>
    <row r="24" spans="2:6" ht="16.2" thickBot="1" x14ac:dyDescent="0.35">
      <c r="B24" s="6">
        <v>21</v>
      </c>
      <c r="C24" s="7">
        <f t="shared" ca="1" si="0"/>
        <v>0.99938542655666451</v>
      </c>
      <c r="D24" s="7">
        <f t="shared" ca="1" si="1"/>
        <v>0.99421490968108339</v>
      </c>
      <c r="E24" s="7">
        <f t="shared" ca="1" si="2"/>
        <v>0.99472883035678927</v>
      </c>
      <c r="F24" s="7">
        <f t="shared" ca="1" si="3"/>
        <v>0.99511910380373203</v>
      </c>
    </row>
    <row r="25" spans="2:6" ht="16.2" thickBot="1" x14ac:dyDescent="0.35">
      <c r="B25" s="6">
        <v>22</v>
      </c>
      <c r="C25" s="7">
        <f t="shared" ca="1" si="0"/>
        <v>0.99965228860949928</v>
      </c>
      <c r="D25" s="7">
        <f t="shared" ca="1" si="1"/>
        <v>0.99306588119043404</v>
      </c>
      <c r="E25" s="7">
        <f t="shared" ca="1" si="2"/>
        <v>0.99240238970612749</v>
      </c>
      <c r="F25" s="7">
        <f t="shared" ca="1" si="3"/>
        <v>0.9940698454641107</v>
      </c>
    </row>
    <row r="26" spans="2:6" ht="16.2" thickBot="1" x14ac:dyDescent="0.35">
      <c r="B26" s="6">
        <v>23</v>
      </c>
      <c r="C26" s="7">
        <f t="shared" ca="1" si="0"/>
        <v>0.99933592754100353</v>
      </c>
      <c r="D26" s="7">
        <f t="shared" ca="1" si="1"/>
        <v>0.99469527165094551</v>
      </c>
      <c r="E26" s="7">
        <f t="shared" ca="1" si="2"/>
        <v>0.99732290658012768</v>
      </c>
      <c r="F26" s="7">
        <f t="shared" ca="1" si="3"/>
        <v>0.99702953639152603</v>
      </c>
    </row>
    <row r="27" spans="2:6" ht="16.2" thickBot="1" x14ac:dyDescent="0.35">
      <c r="B27" s="6">
        <v>24</v>
      </c>
      <c r="C27" s="7">
        <f t="shared" ca="1" si="0"/>
        <v>0.99962774953913613</v>
      </c>
      <c r="D27" s="7">
        <f t="shared" ca="1" si="1"/>
        <v>0.99413602114757094</v>
      </c>
      <c r="E27" s="7">
        <f t="shared" ca="1" si="2"/>
        <v>0.99610012211293486</v>
      </c>
      <c r="F27" s="7">
        <f t="shared" ca="1" si="3"/>
        <v>0.99508985553851437</v>
      </c>
    </row>
    <row r="28" spans="2:6" ht="16.2" thickBot="1" x14ac:dyDescent="0.35">
      <c r="B28" s="6">
        <v>25</v>
      </c>
      <c r="C28" s="7">
        <f t="shared" ca="1" si="0"/>
        <v>0.9995197330849388</v>
      </c>
      <c r="D28" s="7">
        <f t="shared" ca="1" si="1"/>
        <v>0.995119174669851</v>
      </c>
      <c r="E28" s="7">
        <f t="shared" ca="1" si="2"/>
        <v>0.99550062705037767</v>
      </c>
      <c r="F28" s="7">
        <f t="shared" ca="1" si="3"/>
        <v>0.99545545767626886</v>
      </c>
    </row>
    <row r="29" spans="2:6" ht="16.2" thickBot="1" x14ac:dyDescent="0.35">
      <c r="B29" s="6">
        <v>26</v>
      </c>
      <c r="C29" s="7">
        <f t="shared" ca="1" si="0"/>
        <v>0.99923648703581613</v>
      </c>
      <c r="D29" s="7">
        <f t="shared" ca="1" si="1"/>
        <v>0.9934441463495407</v>
      </c>
      <c r="E29" s="7">
        <f t="shared" ca="1" si="2"/>
        <v>0.99727181613633642</v>
      </c>
      <c r="F29" s="7">
        <f t="shared" ca="1" si="3"/>
        <v>0.99449947006257211</v>
      </c>
    </row>
    <row r="30" spans="2:6" ht="16.2" thickBot="1" x14ac:dyDescent="0.35">
      <c r="B30" s="6">
        <v>27</v>
      </c>
      <c r="C30" s="7">
        <f t="shared" ca="1" si="0"/>
        <v>0.9994382433031137</v>
      </c>
      <c r="D30" s="7">
        <f t="shared" ca="1" si="1"/>
        <v>0.99756941080053363</v>
      </c>
      <c r="E30" s="7">
        <f t="shared" ca="1" si="2"/>
        <v>0.99723502010477727</v>
      </c>
      <c r="F30" s="7">
        <f t="shared" ca="1" si="3"/>
        <v>0.99507823592477196</v>
      </c>
    </row>
    <row r="31" spans="2:6" ht="16.2" thickBot="1" x14ac:dyDescent="0.35">
      <c r="B31" s="6">
        <v>28</v>
      </c>
      <c r="C31" s="7">
        <f t="shared" ca="1" si="0"/>
        <v>0.99935080285107991</v>
      </c>
      <c r="D31" s="7">
        <f t="shared" ca="1" si="1"/>
        <v>0.99610402520297314</v>
      </c>
      <c r="E31" s="7">
        <f t="shared" ca="1" si="2"/>
        <v>0.99706863169271642</v>
      </c>
      <c r="F31" s="7">
        <f t="shared" ca="1" si="3"/>
        <v>0.99529124833955496</v>
      </c>
    </row>
    <row r="32" spans="2:6" ht="16.2" thickBot="1" x14ac:dyDescent="0.35">
      <c r="B32" s="6">
        <v>29</v>
      </c>
      <c r="C32" s="7">
        <f t="shared" ca="1" si="0"/>
        <v>0.99977425083602067</v>
      </c>
      <c r="D32" s="7">
        <f t="shared" ca="1" si="1"/>
        <v>0.99437890233732273</v>
      </c>
      <c r="E32" s="7">
        <f t="shared" ca="1" si="2"/>
        <v>0.99269642683263215</v>
      </c>
      <c r="F32" s="7">
        <f t="shared" ca="1" si="3"/>
        <v>0.99454704392587245</v>
      </c>
    </row>
    <row r="33" spans="2:6" ht="16.2" thickBot="1" x14ac:dyDescent="0.35">
      <c r="B33" s="6">
        <v>30</v>
      </c>
      <c r="C33" s="7">
        <f t="shared" ca="1" si="0"/>
        <v>0.99915845938658088</v>
      </c>
      <c r="D33" s="7">
        <f t="shared" ca="1" si="1"/>
        <v>0.99287071887280043</v>
      </c>
      <c r="E33" s="7">
        <f t="shared" ca="1" si="2"/>
        <v>0.99546823594955147</v>
      </c>
      <c r="F33" s="7">
        <f t="shared" ca="1" si="3"/>
        <v>0.994786869706485</v>
      </c>
    </row>
    <row r="34" spans="2:6" ht="16.2" thickBot="1" x14ac:dyDescent="0.35">
      <c r="B34" s="6">
        <v>31</v>
      </c>
      <c r="C34" s="7">
        <f t="shared" ca="1" si="0"/>
        <v>0.99960602536524334</v>
      </c>
      <c r="D34" s="7">
        <f t="shared" ca="1" si="1"/>
        <v>0.99293421578677021</v>
      </c>
      <c r="E34" s="7">
        <f t="shared" ca="1" si="2"/>
        <v>0.99336459889456952</v>
      </c>
      <c r="F34" s="7">
        <f t="shared" ca="1" si="3"/>
        <v>0.99664195893502616</v>
      </c>
    </row>
    <row r="35" spans="2:6" ht="16.2" thickBot="1" x14ac:dyDescent="0.35">
      <c r="B35" s="6">
        <v>32</v>
      </c>
      <c r="C35" s="7">
        <f t="shared" ca="1" si="0"/>
        <v>0.99969933653643417</v>
      </c>
      <c r="D35" s="7">
        <f t="shared" ca="1" si="1"/>
        <v>0.99371878418652815</v>
      </c>
      <c r="E35" s="7">
        <f t="shared" ca="1" si="2"/>
        <v>0.99637586944300194</v>
      </c>
      <c r="F35" s="7">
        <f t="shared" ca="1" si="3"/>
        <v>0.99633003403500586</v>
      </c>
    </row>
    <row r="36" spans="2:6" ht="16.2" thickBot="1" x14ac:dyDescent="0.35">
      <c r="B36" s="6">
        <v>33</v>
      </c>
      <c r="C36" s="7">
        <f t="shared" ca="1" si="0"/>
        <v>0.99942662994088338</v>
      </c>
      <c r="D36" s="7">
        <f t="shared" ca="1" si="1"/>
        <v>0.99659688622528952</v>
      </c>
      <c r="E36" s="7">
        <f t="shared" ca="1" si="2"/>
        <v>0.99646090943024157</v>
      </c>
      <c r="F36" s="7">
        <f t="shared" ca="1" si="3"/>
        <v>0.99653835710952599</v>
      </c>
    </row>
    <row r="37" spans="2:6" ht="16.2" thickBot="1" x14ac:dyDescent="0.35">
      <c r="B37" s="6">
        <v>34</v>
      </c>
      <c r="C37" s="7">
        <f t="shared" ca="1" si="0"/>
        <v>0.99933840620293279</v>
      </c>
      <c r="D37" s="7">
        <f t="shared" ca="1" si="1"/>
        <v>0.99767756607418223</v>
      </c>
      <c r="E37" s="7">
        <f t="shared" ca="1" si="2"/>
        <v>0.99267027966587162</v>
      </c>
      <c r="F37" s="7">
        <f t="shared" ca="1" si="3"/>
        <v>0.99609266223827964</v>
      </c>
    </row>
    <row r="38" spans="2:6" ht="16.2" thickBot="1" x14ac:dyDescent="0.35">
      <c r="B38" s="6">
        <v>35</v>
      </c>
      <c r="C38" s="7">
        <f t="shared" ca="1" si="0"/>
        <v>0.99968025616377199</v>
      </c>
      <c r="D38" s="7">
        <f t="shared" ca="1" si="1"/>
        <v>0.99327317902234735</v>
      </c>
      <c r="E38" s="7">
        <f t="shared" ca="1" si="2"/>
        <v>0.99462386941122216</v>
      </c>
      <c r="F38" s="7">
        <f t="shared" ca="1" si="3"/>
        <v>0.99411157864668942</v>
      </c>
    </row>
    <row r="39" spans="2:6" ht="16.2" thickBot="1" x14ac:dyDescent="0.35">
      <c r="B39" s="6">
        <v>36</v>
      </c>
      <c r="C39" s="7">
        <f t="shared" ca="1" si="0"/>
        <v>0.99984522558863487</v>
      </c>
      <c r="D39" s="7">
        <f t="shared" ca="1" si="1"/>
        <v>0.99525428887094414</v>
      </c>
      <c r="E39" s="7">
        <f t="shared" ca="1" si="2"/>
        <v>0.99314302708650548</v>
      </c>
      <c r="F39" s="7">
        <f t="shared" ca="1" si="3"/>
        <v>0.99389776383381823</v>
      </c>
    </row>
    <row r="40" spans="2:6" ht="16.2" thickBot="1" x14ac:dyDescent="0.35">
      <c r="B40" s="6">
        <v>37</v>
      </c>
      <c r="C40" s="7">
        <f t="shared" ca="1" si="0"/>
        <v>0.99923110333292919</v>
      </c>
      <c r="D40" s="7">
        <f t="shared" ca="1" si="1"/>
        <v>0.99716970377128766</v>
      </c>
      <c r="E40" s="7">
        <f t="shared" ca="1" si="2"/>
        <v>0.99310297162148065</v>
      </c>
      <c r="F40" s="7">
        <f t="shared" ca="1" si="3"/>
        <v>0.99456599735912965</v>
      </c>
    </row>
    <row r="41" spans="2:6" ht="16.2" thickBot="1" x14ac:dyDescent="0.35">
      <c r="B41" s="6">
        <v>38</v>
      </c>
      <c r="C41" s="7">
        <f t="shared" ca="1" si="0"/>
        <v>0.99963464437142147</v>
      </c>
      <c r="D41" s="7">
        <f t="shared" ca="1" si="1"/>
        <v>0.99554269448356292</v>
      </c>
      <c r="E41" s="7">
        <f t="shared" ca="1" si="2"/>
        <v>0.99527295844954577</v>
      </c>
      <c r="F41" s="7">
        <f t="shared" ca="1" si="3"/>
        <v>0.99394801830600499</v>
      </c>
    </row>
    <row r="42" spans="2:6" ht="16.2" thickBot="1" x14ac:dyDescent="0.35">
      <c r="B42" s="6">
        <v>39</v>
      </c>
      <c r="C42" s="7">
        <f t="shared" ca="1" si="0"/>
        <v>0.99955144349213876</v>
      </c>
      <c r="D42" s="7">
        <f t="shared" ca="1" si="1"/>
        <v>0.99598656524474127</v>
      </c>
      <c r="E42" s="7">
        <f t="shared" ca="1" si="2"/>
        <v>0.99341945892535632</v>
      </c>
      <c r="F42" s="7">
        <f t="shared" ca="1" si="3"/>
        <v>0.99634029914194377</v>
      </c>
    </row>
    <row r="43" spans="2:6" ht="16.2" thickBot="1" x14ac:dyDescent="0.35">
      <c r="B43" s="6">
        <v>40</v>
      </c>
      <c r="C43" s="7">
        <f t="shared" ca="1" si="0"/>
        <v>0.99947827503556019</v>
      </c>
      <c r="D43" s="7">
        <f t="shared" ca="1" si="1"/>
        <v>0.9977159539603967</v>
      </c>
      <c r="E43" s="7">
        <f t="shared" ca="1" si="2"/>
        <v>0.99288761682427884</v>
      </c>
      <c r="F43" s="7">
        <f t="shared" ca="1" si="3"/>
        <v>0.99646129796532823</v>
      </c>
    </row>
    <row r="44" spans="2:6" ht="16.2" thickBot="1" x14ac:dyDescent="0.35">
      <c r="B44" s="6">
        <v>41</v>
      </c>
      <c r="C44" s="7">
        <f t="shared" ca="1" si="0"/>
        <v>0.99928141884138344</v>
      </c>
      <c r="D44" s="7">
        <f t="shared" ca="1" si="1"/>
        <v>0.99556265461993099</v>
      </c>
      <c r="E44" s="7">
        <f t="shared" ca="1" si="2"/>
        <v>0.99604945231404241</v>
      </c>
      <c r="F44" s="7">
        <f t="shared" ca="1" si="3"/>
        <v>0.99597205692817636</v>
      </c>
    </row>
    <row r="45" spans="2:6" ht="16.2" thickBot="1" x14ac:dyDescent="0.35">
      <c r="B45" s="6">
        <v>42</v>
      </c>
      <c r="C45" s="7">
        <f t="shared" ca="1" si="0"/>
        <v>0.99942851093263896</v>
      </c>
      <c r="D45" s="7">
        <f t="shared" ca="1" si="1"/>
        <v>0.99311325578066523</v>
      </c>
      <c r="E45" s="7">
        <f t="shared" ca="1" si="2"/>
        <v>0.99380041399008934</v>
      </c>
      <c r="F45" s="7">
        <f t="shared" ca="1" si="3"/>
        <v>0.99416720211312748</v>
      </c>
    </row>
    <row r="46" spans="2:6" ht="16.2" thickBot="1" x14ac:dyDescent="0.35">
      <c r="B46" s="6">
        <v>43</v>
      </c>
      <c r="C46" s="7">
        <f t="shared" ca="1" si="0"/>
        <v>0.99949771296710288</v>
      </c>
      <c r="D46" s="7">
        <f t="shared" ca="1" si="1"/>
        <v>0.9937832788361598</v>
      </c>
      <c r="E46" s="7">
        <f t="shared" ca="1" si="2"/>
        <v>0.99274339890645424</v>
      </c>
      <c r="F46" s="7">
        <f t="shared" ca="1" si="3"/>
        <v>0.99674185836189055</v>
      </c>
    </row>
    <row r="47" spans="2:6" ht="16.2" thickBot="1" x14ac:dyDescent="0.35">
      <c r="B47" s="6">
        <v>44</v>
      </c>
      <c r="C47" s="7">
        <f t="shared" ca="1" si="0"/>
        <v>0.99919172584813853</v>
      </c>
      <c r="D47" s="7">
        <f t="shared" ca="1" si="1"/>
        <v>0.99299456033295785</v>
      </c>
      <c r="E47" s="7">
        <f t="shared" ca="1" si="2"/>
        <v>0.99664614884626412</v>
      </c>
      <c r="F47" s="7">
        <f t="shared" ca="1" si="3"/>
        <v>0.99462432474459672</v>
      </c>
    </row>
    <row r="48" spans="2:6" ht="16.2" thickBot="1" x14ac:dyDescent="0.35">
      <c r="B48" s="6">
        <v>45</v>
      </c>
      <c r="C48" s="7">
        <f t="shared" ca="1" si="0"/>
        <v>0.99987551163925181</v>
      </c>
      <c r="D48" s="7">
        <f t="shared" ca="1" si="1"/>
        <v>0.9973860916971633</v>
      </c>
      <c r="E48" s="7">
        <f t="shared" ca="1" si="2"/>
        <v>0.99699013128983915</v>
      </c>
      <c r="F48" s="7">
        <f t="shared" ca="1" si="3"/>
        <v>0.99505023507446366</v>
      </c>
    </row>
    <row r="49" spans="2:6" ht="16.2" thickBot="1" x14ac:dyDescent="0.35">
      <c r="B49" s="6">
        <v>46</v>
      </c>
      <c r="C49" s="7">
        <f t="shared" ca="1" si="0"/>
        <v>0.99918004265089699</v>
      </c>
      <c r="D49" s="7">
        <f t="shared" ca="1" si="1"/>
        <v>0.99302389610495634</v>
      </c>
      <c r="E49" s="7">
        <f t="shared" ca="1" si="2"/>
        <v>0.99303241806046239</v>
      </c>
      <c r="F49" s="7">
        <f t="shared" ca="1" si="3"/>
        <v>0.99416701380219674</v>
      </c>
    </row>
    <row r="50" spans="2:6" ht="16.2" thickBot="1" x14ac:dyDescent="0.35">
      <c r="B50" s="6">
        <v>47</v>
      </c>
      <c r="C50" s="7">
        <f t="shared" ca="1" si="0"/>
        <v>0.99970683648006509</v>
      </c>
      <c r="D50" s="7">
        <f t="shared" ca="1" si="1"/>
        <v>0.99714690701215558</v>
      </c>
      <c r="E50" s="7">
        <f t="shared" ca="1" si="2"/>
        <v>0.99472272210978019</v>
      </c>
      <c r="F50" s="7">
        <f t="shared" ca="1" si="3"/>
        <v>0.99527777292255815</v>
      </c>
    </row>
    <row r="51" spans="2:6" ht="16.2" thickBot="1" x14ac:dyDescent="0.35">
      <c r="B51" s="6">
        <v>48</v>
      </c>
      <c r="C51" s="7">
        <f t="shared" ca="1" si="0"/>
        <v>0.99927952070761827</v>
      </c>
      <c r="D51" s="7">
        <f t="shared" ca="1" si="1"/>
        <v>0.99620203822861642</v>
      </c>
      <c r="E51" s="7">
        <f t="shared" ca="1" si="2"/>
        <v>0.99691691869554644</v>
      </c>
      <c r="F51" s="7">
        <f t="shared" ca="1" si="3"/>
        <v>0.99468015117388153</v>
      </c>
    </row>
    <row r="52" spans="2:6" ht="16.2" thickBot="1" x14ac:dyDescent="0.35">
      <c r="B52" s="6">
        <v>49</v>
      </c>
      <c r="C52" s="7">
        <f t="shared" ca="1" si="0"/>
        <v>0.999644875401552</v>
      </c>
      <c r="D52" s="7">
        <f t="shared" ca="1" si="1"/>
        <v>0.99393510444072974</v>
      </c>
      <c r="E52" s="7">
        <f t="shared" ca="1" si="2"/>
        <v>0.99233409471888212</v>
      </c>
      <c r="F52" s="7">
        <f t="shared" ca="1" si="3"/>
        <v>0.99645467233865348</v>
      </c>
    </row>
    <row r="53" spans="2:6" ht="16.2" thickBot="1" x14ac:dyDescent="0.35">
      <c r="B53" s="6">
        <v>50</v>
      </c>
      <c r="C53" s="7">
        <f t="shared" ca="1" si="0"/>
        <v>0.99976975747519969</v>
      </c>
      <c r="D53" s="7">
        <f t="shared" ca="1" si="1"/>
        <v>0.99325441518537205</v>
      </c>
      <c r="E53" s="7">
        <f t="shared" ca="1" si="2"/>
        <v>0.99724461449722679</v>
      </c>
      <c r="F53" s="7">
        <f t="shared" ca="1" si="3"/>
        <v>0.99548833572725293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D7FD-38F4-41EC-B62F-E16D6988AFBD}">
  <dimension ref="A1:N13"/>
  <sheetViews>
    <sheetView tabSelected="1" topLeftCell="M3" zoomScale="171" zoomScaleNormal="130" workbookViewId="0">
      <selection activeCell="V20" sqref="V20"/>
    </sheetView>
  </sheetViews>
  <sheetFormatPr defaultRowHeight="14.4" x14ac:dyDescent="0.3"/>
  <sheetData>
    <row r="1" spans="1:14" x14ac:dyDescent="0.3">
      <c r="K1" s="11" t="s">
        <v>71</v>
      </c>
    </row>
    <row r="2" spans="1:14" ht="15" thickBot="1" x14ac:dyDescent="0.35">
      <c r="A2" t="s">
        <v>61</v>
      </c>
      <c r="I2" t="s">
        <v>64</v>
      </c>
      <c r="K2" s="10"/>
    </row>
    <row r="3" spans="1:14" ht="94.2" thickBot="1" x14ac:dyDescent="0.35">
      <c r="A3" s="8" t="s">
        <v>41</v>
      </c>
      <c r="B3" s="9" t="s">
        <v>74</v>
      </c>
      <c r="C3" s="9" t="s">
        <v>56</v>
      </c>
      <c r="D3" s="9" t="s">
        <v>43</v>
      </c>
      <c r="E3" s="9" t="s">
        <v>44</v>
      </c>
      <c r="F3" s="9" t="s">
        <v>72</v>
      </c>
      <c r="I3" s="8" t="s">
        <v>41</v>
      </c>
      <c r="J3" s="9" t="s">
        <v>75</v>
      </c>
      <c r="K3" s="9" t="s">
        <v>56</v>
      </c>
      <c r="L3" s="9" t="s">
        <v>43</v>
      </c>
      <c r="M3" s="9" t="s">
        <v>44</v>
      </c>
      <c r="N3" s="9" t="s">
        <v>73</v>
      </c>
    </row>
    <row r="4" spans="1:14" ht="47.4" thickBot="1" x14ac:dyDescent="0.35">
      <c r="A4" s="6" t="s">
        <v>45</v>
      </c>
      <c r="B4" s="7">
        <v>0.73609999999999998</v>
      </c>
      <c r="C4" s="7">
        <v>0.77659999999999996</v>
      </c>
      <c r="D4" s="7">
        <v>0.73609999999999998</v>
      </c>
      <c r="E4" s="7">
        <v>0.72650000000000003</v>
      </c>
      <c r="F4" s="7">
        <v>11.28</v>
      </c>
      <c r="I4" s="6" t="s">
        <v>45</v>
      </c>
      <c r="J4" s="7">
        <v>0.72330000000000005</v>
      </c>
      <c r="K4" s="7">
        <v>0.72340000000000004</v>
      </c>
      <c r="L4" s="7">
        <v>0.72330000000000005</v>
      </c>
      <c r="M4" s="7">
        <v>0.72319999999999995</v>
      </c>
      <c r="N4" s="7">
        <v>20.34</v>
      </c>
    </row>
    <row r="5" spans="1:14" ht="31.8" thickBot="1" x14ac:dyDescent="0.35">
      <c r="A5" s="6" t="s">
        <v>60</v>
      </c>
      <c r="B5" s="7">
        <v>0.99719999999999998</v>
      </c>
      <c r="C5" s="7">
        <v>0.99729999999999996</v>
      </c>
      <c r="D5" s="7">
        <v>0.99719999999999998</v>
      </c>
      <c r="E5" s="7">
        <v>0.99709999999999999</v>
      </c>
      <c r="F5" s="7">
        <v>0.16</v>
      </c>
      <c r="I5" s="6" t="s">
        <v>60</v>
      </c>
      <c r="J5" s="7">
        <v>0.99650000000000005</v>
      </c>
      <c r="K5" s="7">
        <v>0.99650000000000005</v>
      </c>
      <c r="L5" s="7">
        <v>0.99650000000000005</v>
      </c>
      <c r="M5" s="7">
        <v>0.99650000000000005</v>
      </c>
      <c r="N5" s="7">
        <v>0.15</v>
      </c>
    </row>
    <row r="6" spans="1:14" ht="16.2" thickBot="1" x14ac:dyDescent="0.35">
      <c r="A6" s="6" t="s">
        <v>47</v>
      </c>
      <c r="B6" s="7">
        <v>0.95879999999999999</v>
      </c>
      <c r="C6" s="7">
        <v>0.96060000000000001</v>
      </c>
      <c r="D6" s="7">
        <v>0.95879999999999999</v>
      </c>
      <c r="E6" s="7">
        <v>0.95860000000000001</v>
      </c>
      <c r="F6" s="7">
        <v>1.08</v>
      </c>
      <c r="I6" s="6" t="s">
        <v>47</v>
      </c>
      <c r="J6" s="7">
        <v>0.93110000000000004</v>
      </c>
      <c r="K6" s="7">
        <v>0.93359999999999999</v>
      </c>
      <c r="L6" s="7">
        <v>0.93110000000000004</v>
      </c>
      <c r="M6" s="7">
        <v>0.93079999999999996</v>
      </c>
      <c r="N6" s="7">
        <v>1.1200000000000001</v>
      </c>
    </row>
    <row r="7" spans="1:14" ht="16.2" thickBot="1" x14ac:dyDescent="0.35">
      <c r="A7" s="6" t="s">
        <v>48</v>
      </c>
      <c r="B7" s="7">
        <v>0.99729999999999996</v>
      </c>
      <c r="C7" s="7">
        <v>0.99739999999999995</v>
      </c>
      <c r="D7" s="7">
        <v>0.99729999999999996</v>
      </c>
      <c r="E7" s="7">
        <v>0.99729999999999996</v>
      </c>
      <c r="F7" s="7">
        <v>0.62</v>
      </c>
      <c r="I7" s="6" t="s">
        <v>48</v>
      </c>
      <c r="J7" s="7">
        <v>0.99209999999999998</v>
      </c>
      <c r="K7" s="7">
        <v>0.99209999999999998</v>
      </c>
      <c r="L7" s="7">
        <v>0.99209999999999998</v>
      </c>
      <c r="M7" s="7">
        <v>0.99209999999999998</v>
      </c>
      <c r="N7" s="7">
        <v>0.77</v>
      </c>
    </row>
    <row r="8" spans="1:14" ht="31.8" thickBot="1" x14ac:dyDescent="0.35">
      <c r="A8" s="6" t="s">
        <v>49</v>
      </c>
      <c r="B8" s="7">
        <v>0.39829999999999999</v>
      </c>
      <c r="C8" s="7">
        <v>0.31769999999999998</v>
      </c>
      <c r="D8" s="7">
        <v>0.39829999999999999</v>
      </c>
      <c r="E8" s="7">
        <v>0.31580000000000003</v>
      </c>
      <c r="F8" s="7">
        <v>1.29</v>
      </c>
      <c r="I8" s="6" t="s">
        <v>49</v>
      </c>
      <c r="J8" s="7">
        <v>0.33260000000000001</v>
      </c>
      <c r="K8" s="7">
        <v>0.19450000000000001</v>
      </c>
      <c r="L8" s="7">
        <v>0.33260000000000001</v>
      </c>
      <c r="M8" s="7">
        <v>0.2326</v>
      </c>
      <c r="N8" s="7">
        <v>1.46</v>
      </c>
    </row>
    <row r="9" spans="1:14" ht="31.8" thickBot="1" x14ac:dyDescent="0.35">
      <c r="A9" s="6" t="s">
        <v>50</v>
      </c>
      <c r="B9" s="7">
        <v>0.99650000000000005</v>
      </c>
      <c r="C9" s="7">
        <v>0.99660000000000004</v>
      </c>
      <c r="D9" s="7">
        <v>0.99650000000000005</v>
      </c>
      <c r="E9" s="7">
        <v>0.99639999999999995</v>
      </c>
      <c r="F9" s="7">
        <v>6.4</v>
      </c>
      <c r="I9" s="6" t="s">
        <v>50</v>
      </c>
      <c r="J9" s="7">
        <v>0.99129999999999996</v>
      </c>
      <c r="K9" s="7">
        <v>0.99180000000000001</v>
      </c>
      <c r="L9" s="7">
        <v>0.99170000000000003</v>
      </c>
      <c r="M9" s="7">
        <v>0.99139999999999995</v>
      </c>
      <c r="N9" s="7">
        <v>10.08</v>
      </c>
    </row>
    <row r="10" spans="1:14" ht="16.2" thickBot="1" x14ac:dyDescent="0.35">
      <c r="A10" s="6" t="s">
        <v>51</v>
      </c>
      <c r="B10" s="7">
        <v>0.72389999999999999</v>
      </c>
      <c r="C10" s="7">
        <v>0.76690000000000003</v>
      </c>
      <c r="D10" s="7">
        <v>0.72389999999999999</v>
      </c>
      <c r="E10" s="7">
        <v>0.70940000000000003</v>
      </c>
      <c r="F10" s="7">
        <v>104.63</v>
      </c>
      <c r="I10" s="6" t="s">
        <v>51</v>
      </c>
      <c r="J10" s="7">
        <v>0.71709999999999996</v>
      </c>
      <c r="K10" s="7">
        <v>0.73760000000000003</v>
      </c>
      <c r="L10" s="7">
        <v>0.71709999999999996</v>
      </c>
      <c r="M10" s="7">
        <v>0.69030000000000002</v>
      </c>
      <c r="N10" s="7">
        <v>121.35</v>
      </c>
    </row>
    <row r="11" spans="1:14" ht="31.8" thickBot="1" x14ac:dyDescent="0.35">
      <c r="A11" s="6" t="s">
        <v>52</v>
      </c>
      <c r="B11" s="7">
        <v>0.37469999999999998</v>
      </c>
      <c r="C11" s="7">
        <v>0.32319999999999999</v>
      </c>
      <c r="D11" s="7">
        <v>0.37469999999999998</v>
      </c>
      <c r="E11" s="7">
        <v>0.2994</v>
      </c>
      <c r="F11" s="7">
        <v>7.43</v>
      </c>
      <c r="I11" s="6" t="s">
        <v>52</v>
      </c>
      <c r="J11" s="7">
        <v>0.33539999999999998</v>
      </c>
      <c r="K11" s="7">
        <v>0.33550000000000002</v>
      </c>
      <c r="L11" s="7">
        <v>0.3352</v>
      </c>
      <c r="M11" s="7">
        <v>0.33850000000000002</v>
      </c>
      <c r="N11" s="7">
        <v>10.58</v>
      </c>
    </row>
    <row r="12" spans="1:14" ht="47.4" thickBot="1" x14ac:dyDescent="0.35">
      <c r="A12" s="6" t="s">
        <v>53</v>
      </c>
      <c r="B12" s="7">
        <v>0.66900000000000004</v>
      </c>
      <c r="C12" s="7">
        <v>0.69830000000000003</v>
      </c>
      <c r="D12" s="7">
        <v>0.66900000000000004</v>
      </c>
      <c r="E12" s="7">
        <v>0.63980000000000004</v>
      </c>
      <c r="F12" s="7">
        <v>0.03</v>
      </c>
      <c r="I12" s="6" t="s">
        <v>53</v>
      </c>
      <c r="J12" s="7">
        <v>0.65069999999999995</v>
      </c>
      <c r="K12" s="7">
        <v>0.67290000000000005</v>
      </c>
      <c r="L12" s="7">
        <v>0.65069999999999995</v>
      </c>
      <c r="M12" s="7">
        <v>0.63780000000000003</v>
      </c>
      <c r="N12" s="7">
        <v>0.05</v>
      </c>
    </row>
    <row r="13" spans="1:14" ht="31.8" thickBot="1" x14ac:dyDescent="0.35">
      <c r="A13" s="6" t="s">
        <v>54</v>
      </c>
      <c r="B13" s="7">
        <v>0.99709999999999999</v>
      </c>
      <c r="C13" s="7">
        <v>0.99719999999999998</v>
      </c>
      <c r="D13" s="7">
        <v>0.99709999999999999</v>
      </c>
      <c r="E13" s="7">
        <v>0.99709999999999999</v>
      </c>
      <c r="F13" s="7">
        <v>2.62</v>
      </c>
      <c r="I13" s="6" t="s">
        <v>54</v>
      </c>
      <c r="J13" s="7">
        <v>0.99650000000000005</v>
      </c>
      <c r="K13" s="7">
        <v>0.99660000000000004</v>
      </c>
      <c r="L13" s="7">
        <v>0.99660000000000004</v>
      </c>
      <c r="M13" s="7">
        <v>0.99660000000000004</v>
      </c>
      <c r="N13" s="7">
        <v>3.11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4087D-A5A8-4E9B-B0F0-8939374DD6AE}">
  <dimension ref="A1:M13"/>
  <sheetViews>
    <sheetView topLeftCell="O8" zoomScale="156" zoomScaleNormal="130" workbookViewId="0">
      <selection activeCell="Y8" sqref="Y8"/>
    </sheetView>
  </sheetViews>
  <sheetFormatPr defaultRowHeight="14.4" x14ac:dyDescent="0.3"/>
  <sheetData>
    <row r="1" spans="1:13" x14ac:dyDescent="0.3">
      <c r="A1" t="s">
        <v>59</v>
      </c>
      <c r="H1" t="s">
        <v>63</v>
      </c>
      <c r="J1" s="11"/>
    </row>
    <row r="2" spans="1:13" ht="15" thickBot="1" x14ac:dyDescent="0.35">
      <c r="J2" s="10"/>
    </row>
    <row r="3" spans="1:13" ht="94.2" thickBot="1" x14ac:dyDescent="0.35">
      <c r="A3" s="8" t="s">
        <v>41</v>
      </c>
      <c r="B3" s="9" t="s">
        <v>76</v>
      </c>
      <c r="C3" s="9" t="s">
        <v>56</v>
      </c>
      <c r="D3" s="9" t="s">
        <v>43</v>
      </c>
      <c r="E3" s="9" t="s">
        <v>44</v>
      </c>
      <c r="F3" s="9" t="s">
        <v>77</v>
      </c>
      <c r="H3" s="8" t="s">
        <v>41</v>
      </c>
      <c r="I3" s="9" t="s">
        <v>79</v>
      </c>
      <c r="J3" s="9" t="s">
        <v>56</v>
      </c>
      <c r="K3" s="9" t="s">
        <v>43</v>
      </c>
      <c r="L3" s="9" t="s">
        <v>44</v>
      </c>
      <c r="M3" s="9" t="s">
        <v>78</v>
      </c>
    </row>
    <row r="4" spans="1:13" ht="47.4" thickBot="1" x14ac:dyDescent="0.35">
      <c r="A4" s="6" t="s">
        <v>45</v>
      </c>
      <c r="B4" s="7">
        <v>0.8296</v>
      </c>
      <c r="C4" s="7">
        <v>0.83589999999999998</v>
      </c>
      <c r="D4" s="7">
        <v>0.8296</v>
      </c>
      <c r="E4" s="7">
        <v>0.82189999999999996</v>
      </c>
      <c r="F4" s="7">
        <v>16.600000000000001</v>
      </c>
      <c r="H4" s="6" t="s">
        <v>45</v>
      </c>
      <c r="I4" s="7">
        <v>0.74019999999999997</v>
      </c>
      <c r="J4" s="7">
        <v>0.71809999999999996</v>
      </c>
      <c r="K4" s="7">
        <v>0.74019999999999997</v>
      </c>
      <c r="L4" s="7">
        <v>0.71909999999999996</v>
      </c>
      <c r="M4" s="7">
        <v>17.100000000000001</v>
      </c>
    </row>
    <row r="5" spans="1:13" ht="31.8" thickBot="1" x14ac:dyDescent="0.35">
      <c r="A5" s="6" t="s">
        <v>60</v>
      </c>
      <c r="B5" s="7">
        <v>0.98960000000000004</v>
      </c>
      <c r="C5" s="7">
        <v>0.98970000000000002</v>
      </c>
      <c r="D5" s="7">
        <v>0.98960000000000004</v>
      </c>
      <c r="E5" s="7">
        <v>0.98950000000000005</v>
      </c>
      <c r="F5" s="7">
        <v>0.14000000000000001</v>
      </c>
      <c r="H5" s="6" t="s">
        <v>60</v>
      </c>
      <c r="I5" s="7">
        <v>0.97670000000000001</v>
      </c>
      <c r="J5" s="7">
        <v>0.97670000000000001</v>
      </c>
      <c r="K5" s="7">
        <v>0.97670000000000001</v>
      </c>
      <c r="L5" s="7">
        <v>0.97670000000000001</v>
      </c>
      <c r="M5" s="7">
        <v>0.2</v>
      </c>
    </row>
    <row r="6" spans="1:13" ht="16.2" thickBot="1" x14ac:dyDescent="0.35">
      <c r="A6" s="6" t="s">
        <v>47</v>
      </c>
      <c r="B6" s="7">
        <v>0.9587</v>
      </c>
      <c r="C6" s="7">
        <v>0.96130000000000004</v>
      </c>
      <c r="D6" s="7">
        <v>0.9587</v>
      </c>
      <c r="E6" s="7">
        <v>0.95840000000000003</v>
      </c>
      <c r="F6" s="7">
        <v>0.71</v>
      </c>
      <c r="H6" s="6" t="s">
        <v>47</v>
      </c>
      <c r="I6" s="7">
        <v>0.93630000000000002</v>
      </c>
      <c r="J6" s="7">
        <v>0.93720000000000003</v>
      </c>
      <c r="K6" s="7">
        <v>0.93630000000000002</v>
      </c>
      <c r="L6" s="7">
        <v>0.93630000000000002</v>
      </c>
      <c r="M6" s="7">
        <v>1.35</v>
      </c>
    </row>
    <row r="7" spans="1:13" ht="16.2" thickBot="1" x14ac:dyDescent="0.35">
      <c r="A7" s="6" t="s">
        <v>48</v>
      </c>
      <c r="B7" s="7">
        <v>0.9919</v>
      </c>
      <c r="C7" s="7">
        <v>0.99209999999999998</v>
      </c>
      <c r="D7" s="7">
        <v>0.9919</v>
      </c>
      <c r="E7" s="7">
        <v>0.9919</v>
      </c>
      <c r="F7" s="7">
        <v>0.71</v>
      </c>
      <c r="H7" s="6" t="s">
        <v>48</v>
      </c>
      <c r="I7" s="7">
        <v>0.98729999999999996</v>
      </c>
      <c r="J7" s="7">
        <v>0.98729999999999996</v>
      </c>
      <c r="K7" s="7">
        <v>0.98729999999999996</v>
      </c>
      <c r="L7" s="7">
        <v>0.98729999999999996</v>
      </c>
      <c r="M7" s="7">
        <v>0.74</v>
      </c>
    </row>
    <row r="8" spans="1:13" ht="31.8" thickBot="1" x14ac:dyDescent="0.35">
      <c r="A8" s="6" t="s">
        <v>49</v>
      </c>
      <c r="B8" s="7">
        <v>0.33710000000000001</v>
      </c>
      <c r="C8" s="7">
        <v>0.20569999999999999</v>
      </c>
      <c r="D8" s="7">
        <v>0.33710000000000001</v>
      </c>
      <c r="E8" s="7">
        <v>0.22120000000000001</v>
      </c>
      <c r="F8" s="7">
        <v>1.73</v>
      </c>
      <c r="H8" s="6" t="s">
        <v>49</v>
      </c>
      <c r="I8" s="7">
        <v>0.31580000000000003</v>
      </c>
      <c r="J8" s="7">
        <v>0.39660000000000001</v>
      </c>
      <c r="K8" s="7">
        <v>0.31580000000000003</v>
      </c>
      <c r="L8" s="7">
        <v>0.3281</v>
      </c>
      <c r="M8" s="7">
        <v>1.99</v>
      </c>
    </row>
    <row r="9" spans="1:13" ht="31.8" thickBot="1" x14ac:dyDescent="0.35">
      <c r="A9" s="6" t="s">
        <v>50</v>
      </c>
      <c r="B9" s="7">
        <v>0.99429999999999996</v>
      </c>
      <c r="C9" s="7">
        <v>0.99470000000000003</v>
      </c>
      <c r="D9" s="7">
        <v>0.99429999999999996</v>
      </c>
      <c r="E9" s="7">
        <v>0.99429999999999996</v>
      </c>
      <c r="F9" s="7">
        <v>7.03</v>
      </c>
      <c r="H9" s="6" t="s">
        <v>50</v>
      </c>
      <c r="I9" s="7">
        <v>0.9879</v>
      </c>
      <c r="J9" s="7">
        <v>0.98809999999999998</v>
      </c>
      <c r="K9" s="7">
        <v>0.9879</v>
      </c>
      <c r="L9" s="7">
        <v>0.98809999999999998</v>
      </c>
      <c r="M9" s="7">
        <v>7.24</v>
      </c>
    </row>
    <row r="10" spans="1:13" ht="16.2" thickBot="1" x14ac:dyDescent="0.35">
      <c r="A10" s="6" t="s">
        <v>51</v>
      </c>
      <c r="B10" s="7">
        <v>0.64090000000000003</v>
      </c>
      <c r="C10" s="7">
        <v>0.67620000000000002</v>
      </c>
      <c r="D10" s="7">
        <v>0.64090000000000003</v>
      </c>
      <c r="E10" s="7">
        <v>0.60970000000000002</v>
      </c>
      <c r="F10" s="7">
        <v>111.03</v>
      </c>
      <c r="H10" s="6" t="s">
        <v>51</v>
      </c>
      <c r="I10" s="7">
        <v>0.51849999999999996</v>
      </c>
      <c r="J10" s="7">
        <v>0.53939999999999999</v>
      </c>
      <c r="K10" s="7">
        <v>0.51849999999999996</v>
      </c>
      <c r="L10" s="7">
        <v>0.59240000000000004</v>
      </c>
      <c r="M10" s="7">
        <v>124.3</v>
      </c>
    </row>
    <row r="11" spans="1:13" ht="31.8" thickBot="1" x14ac:dyDescent="0.35">
      <c r="A11" s="6" t="s">
        <v>52</v>
      </c>
      <c r="B11" s="7">
        <v>0.36940000000000001</v>
      </c>
      <c r="C11" s="7">
        <v>0.46760000000000002</v>
      </c>
      <c r="D11" s="7">
        <v>0.36940000000000001</v>
      </c>
      <c r="E11" s="7">
        <v>0.33779999999999999</v>
      </c>
      <c r="F11" s="7">
        <v>7.13</v>
      </c>
      <c r="H11" s="6" t="s">
        <v>52</v>
      </c>
      <c r="I11" s="7">
        <v>0.33250000000000002</v>
      </c>
      <c r="J11" s="7">
        <v>0.31240000000000001</v>
      </c>
      <c r="K11" s="7">
        <v>0.33250000000000002</v>
      </c>
      <c r="L11" s="7">
        <v>0.30470000000000003</v>
      </c>
      <c r="M11" s="7">
        <v>7.17</v>
      </c>
    </row>
    <row r="12" spans="1:13" ht="47.4" thickBot="1" x14ac:dyDescent="0.35">
      <c r="A12" s="6" t="s">
        <v>53</v>
      </c>
      <c r="B12" s="7">
        <v>0.76049999999999995</v>
      </c>
      <c r="C12" s="7">
        <v>0.79190000000000005</v>
      </c>
      <c r="D12" s="7">
        <v>0.76049999999999995</v>
      </c>
      <c r="E12" s="7">
        <v>0.76390000000000002</v>
      </c>
      <c r="F12" s="7">
        <v>0.03</v>
      </c>
      <c r="H12" s="6" t="s">
        <v>53</v>
      </c>
      <c r="I12" s="7">
        <v>0.73319999999999996</v>
      </c>
      <c r="J12" s="7">
        <v>0.77539999999999998</v>
      </c>
      <c r="K12" s="7">
        <v>0.73319999999999996</v>
      </c>
      <c r="L12" s="7">
        <v>0.72040000000000004</v>
      </c>
      <c r="M12" s="7">
        <v>0.03</v>
      </c>
    </row>
    <row r="13" spans="1:13" ht="31.8" thickBot="1" x14ac:dyDescent="0.35">
      <c r="A13" s="6" t="s">
        <v>54</v>
      </c>
      <c r="B13" s="7">
        <v>0.99109999999999998</v>
      </c>
      <c r="C13" s="7">
        <v>0.99119999999999997</v>
      </c>
      <c r="D13" s="7">
        <v>0.99109999999999998</v>
      </c>
      <c r="E13" s="7">
        <v>0.99109999999999998</v>
      </c>
      <c r="F13" s="7">
        <v>2.08</v>
      </c>
      <c r="H13" s="6" t="s">
        <v>54</v>
      </c>
      <c r="I13" s="7">
        <v>0.98619999999999997</v>
      </c>
      <c r="J13" s="7">
        <v>0.98619999999999997</v>
      </c>
      <c r="K13" s="7">
        <v>0.98619999999999997</v>
      </c>
      <c r="L13" s="7">
        <v>0.98619999999999997</v>
      </c>
      <c r="M13" s="7">
        <v>2.4300000000000002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P</dc:creator>
  <cp:lastModifiedBy>Surekha P</cp:lastModifiedBy>
  <dcterms:created xsi:type="dcterms:W3CDTF">2025-09-18T15:04:35Z</dcterms:created>
  <dcterms:modified xsi:type="dcterms:W3CDTF">2025-09-27T03:06:22Z</dcterms:modified>
</cp:coreProperties>
</file>